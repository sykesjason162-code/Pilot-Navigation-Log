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6" showHorizontalScroll="1" showVerticalScroll="1"/>
  </bookViews>
  <sheets>
    <sheet name="Weather &amp; Flight Plan" sheetId="1" state="visible" r:id="rId2"/>
    <sheet name="Navigation Log" sheetId="2" state="visible" r:id="rId3"/>
    <sheet name="Weight &amp; Balance" sheetId="3" state="visible" r:id="rId4"/>
    <sheet name="Fuel Required" sheetId="4" state="visible" r:id="rId5"/>
    <sheet name="Performance" sheetId="5" state="visible" r:id="rId6"/>
    <sheet name="Preflight Checklist" sheetId="6" state="visible" r:id="rId7"/>
    <sheet name="Pilot Log" sheetId="7" state="visible" r:id="rId8"/>
    <sheet name="Macro Code" sheetId="8" state="visible" r:id="rId9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<sst xmlns="http://schemas.openxmlformats.org/spreadsheetml/2006/main" count="380" uniqueCount="380">
  <si>
    <t xml:space="preserve">Weather Log</t>
  </si>
  <si>
    <t>Date:</t>
  </si>
  <si>
    <t xml:space="preserve">Ceiling / Visibility / Precipitation</t>
  </si>
  <si>
    <t xml:space="preserve">Winds aloft</t>
  </si>
  <si>
    <t xml:space="preserve">Icing and
Freezing level</t>
  </si>
  <si>
    <t xml:space="preserve">Turbulence and
Cloud tops</t>
  </si>
  <si>
    <t xml:space="preserve">Position of fronts
Low and highs</t>
  </si>
  <si>
    <t>Reported</t>
  </si>
  <si>
    <t>Forecast</t>
  </si>
  <si>
    <t>Speed</t>
  </si>
  <si>
    <t>Dir</t>
  </si>
  <si>
    <t>Departure</t>
  </si>
  <si>
    <t>En-route</t>
  </si>
  <si>
    <t>Destination</t>
  </si>
  <si>
    <t>Alternate</t>
  </si>
  <si>
    <t xml:space="preserve">Flight Plan</t>
  </si>
  <si>
    <t xml:space="preserve">Type of Flight</t>
  </si>
  <si>
    <t xml:space="preserve">Aircraft ID</t>
  </si>
  <si>
    <t xml:space="preserve">Aircraft Type / Equipment</t>
  </si>
  <si>
    <t xml:space="preserve">True Airspeed</t>
  </si>
  <si>
    <t xml:space="preserve">Departure Point</t>
  </si>
  <si>
    <t xml:space="preserve">Departure Time</t>
  </si>
  <si>
    <t xml:space="preserve">Cruising Altitude</t>
  </si>
  <si>
    <t xml:space="preserve">Estimated (UTC)</t>
  </si>
  <si>
    <t xml:space="preserve">Actual (UTC)</t>
  </si>
  <si>
    <t>VFR</t>
  </si>
  <si>
    <t>IFR</t>
  </si>
  <si>
    <t xml:space="preserve">Z / Y</t>
  </si>
  <si>
    <t xml:space="preserve">Route of flight</t>
  </si>
  <si>
    <t xml:space="preserve">Estimated time en-route</t>
  </si>
  <si>
    <t>Remarks</t>
  </si>
  <si>
    <t>Hour</t>
  </si>
  <si>
    <t>Minutes</t>
  </si>
  <si>
    <t xml:space="preserve">Alternate Airport</t>
  </si>
  <si>
    <t xml:space="preserve">Fuel on Board</t>
  </si>
  <si>
    <t xml:space="preserve">Notes / NOTAMs</t>
  </si>
  <si>
    <t xml:space="preserve">Aircraft Number:</t>
  </si>
  <si>
    <t>TPA:</t>
  </si>
  <si>
    <t xml:space="preserve">GPH Rate:</t>
  </si>
  <si>
    <t xml:space="preserve">Enter your aircraft GPH</t>
  </si>
  <si>
    <t>RPM:</t>
  </si>
  <si>
    <t>Overfly:</t>
  </si>
  <si>
    <t xml:space="preserve">Start Fuel (gal):</t>
  </si>
  <si>
    <t>Notes:</t>
  </si>
  <si>
    <t xml:space="preserve">Check
Points</t>
  </si>
  <si>
    <t>VOR</t>
  </si>
  <si>
    <t>Course</t>
  </si>
  <si>
    <t xml:space="preserve">Altitude
(MSL)</t>
  </si>
  <si>
    <t>Wind</t>
  </si>
  <si>
    <t xml:space="preserve">T
A
S</t>
  </si>
  <si>
    <t>TC</t>
  </si>
  <si>
    <t>TH</t>
  </si>
  <si>
    <t>MH</t>
  </si>
  <si>
    <t xml:space="preserve">C
H</t>
  </si>
  <si>
    <t>Dis.</t>
  </si>
  <si>
    <t>GS</t>
  </si>
  <si>
    <t>Time</t>
  </si>
  <si>
    <t>GPH</t>
  </si>
  <si>
    <t>ATIS</t>
  </si>
  <si>
    <t>Freq.</t>
  </si>
  <si>
    <t>Vel</t>
  </si>
  <si>
    <t>-L+R</t>
  </si>
  <si>
    <t>-E+W</t>
  </si>
  <si>
    <t>+/-</t>
  </si>
  <si>
    <t>Leg</t>
  </si>
  <si>
    <t>Rem.</t>
  </si>
  <si>
    <t>ETE</t>
  </si>
  <si>
    <t>ETA</t>
  </si>
  <si>
    <t>Iden.</t>
  </si>
  <si>
    <t>Temp.</t>
  </si>
  <si>
    <t>WCA</t>
  </si>
  <si>
    <t>Var</t>
  </si>
  <si>
    <t>Dev</t>
  </si>
  <si>
    <t>Est.</t>
  </si>
  <si>
    <t>Used</t>
  </si>
  <si>
    <t>Act.</t>
  </si>
  <si>
    <t xml:space="preserve">ATIS Code</t>
  </si>
  <si>
    <t xml:space="preserve">Ceiling / Visibility</t>
  </si>
  <si>
    <t>Altimeter</t>
  </si>
  <si>
    <t>Apprch</t>
  </si>
  <si>
    <t>Runway</t>
  </si>
  <si>
    <t xml:space="preserve">Airport Frequencies</t>
  </si>
  <si>
    <t>Ground</t>
  </si>
  <si>
    <t>Tower</t>
  </si>
  <si>
    <t>Dep.</t>
  </si>
  <si>
    <t>CTAF</t>
  </si>
  <si>
    <t>FSS</t>
  </si>
  <si>
    <t>Unicom</t>
  </si>
  <si>
    <t>Elev.</t>
  </si>
  <si>
    <t>Totals:</t>
  </si>
  <si>
    <t xml:space="preserve">Block In</t>
  </si>
  <si>
    <t xml:space="preserve">Log Time</t>
  </si>
  <si>
    <t xml:space="preserve">Block Out</t>
  </si>
  <si>
    <t xml:space="preserve">WEIGHT &amp; BALANCE</t>
  </si>
  <si>
    <t xml:space="preserve">Update blue cells for your specific aircraft. Verify all arms and limits in your aircraft POH.</t>
  </si>
  <si>
    <t xml:space="preserve">Aircraft Reference Data</t>
  </si>
  <si>
    <t>Value</t>
  </si>
  <si>
    <t>Units</t>
  </si>
  <si>
    <t>Notes</t>
  </si>
  <si>
    <t xml:space="preserve">Max Gross Weight</t>
  </si>
  <si>
    <t>lbs</t>
  </si>
  <si>
    <t xml:space="preserve">From your aircraft POH limitations section</t>
  </si>
  <si>
    <t xml:space="preserve">Max Usable Fuel</t>
  </si>
  <si>
    <t>gal</t>
  </si>
  <si>
    <t xml:space="preserve">Usable fuel only — check your POH</t>
  </si>
  <si>
    <t xml:space="preserve">Fuel Weight</t>
  </si>
  <si>
    <t>lbs/gal</t>
  </si>
  <si>
    <t xml:space="preserve">AvGas 100LL = 6.0  |  Jet-A = 6.7  |  MoGas = 6.1</t>
  </si>
  <si>
    <t xml:space="preserve">Empty Weight</t>
  </si>
  <si>
    <t xml:space="preserve">From aircraft weight &amp; balance records</t>
  </si>
  <si>
    <t xml:space="preserve">Empty Weight Arm</t>
  </si>
  <si>
    <t>in</t>
  </si>
  <si>
    <t xml:space="preserve">Forward CG Limit</t>
  </si>
  <si>
    <t xml:space="preserve">From POH CG envelope — check at your gross weight</t>
  </si>
  <si>
    <t xml:space="preserve">Aft CG Limit</t>
  </si>
  <si>
    <t xml:space="preserve">Weight &amp; Balance Calculation</t>
  </si>
  <si>
    <t>Item</t>
  </si>
  <si>
    <t xml:space="preserve">Weight (lbs)</t>
  </si>
  <si>
    <t xml:space="preserve">Arm (in)</t>
  </si>
  <si>
    <t xml:space="preserve">Moment (lb·in)</t>
  </si>
  <si>
    <t xml:space="preserve">Notes / Station</t>
  </si>
  <si>
    <t xml:space="preserve">Empty Aircraft</t>
  </si>
  <si>
    <t xml:space="preserve">From aircraft records (green = linked from above)</t>
  </si>
  <si>
    <t xml:space="preserve">Pilot (front left)</t>
  </si>
  <si>
    <t xml:space="preserve">Enter weight and arm from your POH station data</t>
  </si>
  <si>
    <t xml:space="preserve">Co-Pilot / Passenger (front right)</t>
  </si>
  <si>
    <t xml:space="preserve">Rear Passenger (left)</t>
  </si>
  <si>
    <t xml:space="preserve">Rear Passenger (right)</t>
  </si>
  <si>
    <t xml:space="preserve">Baggage Area 1</t>
  </si>
  <si>
    <t xml:space="preserve">Check max station weight limit in POH</t>
  </si>
  <si>
    <t xml:space="preserve">Baggage Area 2</t>
  </si>
  <si>
    <t xml:space="preserve">Fuel (usable)</t>
  </si>
  <si>
    <t xml:space="preserve">Enter fuel arm from POH — adjust weight for partial fuel</t>
  </si>
  <si>
    <t>TOTAL</t>
  </si>
  <si>
    <t xml:space="preserve">CG Location (inches from datum)</t>
  </si>
  <si>
    <t xml:space="preserve">Weight OK? (Max Gross)</t>
  </si>
  <si>
    <t xml:space="preserve">CG OK? (Envelope)</t>
  </si>
  <si>
    <t xml:space="preserve">FUEL REQUIRED</t>
  </si>
  <si>
    <t xml:space="preserve">Blue = your inputs.  Green = linked from other sheets.  All calculations automatic.</t>
  </si>
  <si>
    <t xml:space="preserve">Flight Parameters  (Inputs)</t>
  </si>
  <si>
    <t>Parameter</t>
  </si>
  <si>
    <t xml:space="preserve">Notes / Guidance</t>
  </si>
  <si>
    <t xml:space="preserve">GPH — Fuel Burn Rate</t>
  </si>
  <si>
    <t>gal/hr</t>
  </si>
  <si>
    <t xml:space="preserve">Linked from Nav Log — verify against your POH performance tables at cruise power</t>
  </si>
  <si>
    <t xml:space="preserve">Fuel On Board (available)</t>
  </si>
  <si>
    <t xml:space="preserve">Linked from Nav Log — usable fuel only, not total capacity</t>
  </si>
  <si>
    <t xml:space="preserve">TAS (for range calc)</t>
  </si>
  <si>
    <t>knots</t>
  </si>
  <si>
    <t xml:space="preserve">Enter your aircraft cruise TAS from POH</t>
  </si>
  <si>
    <t xml:space="preserve">Estimated Flight Time (ETE)</t>
  </si>
  <si>
    <t>hrs</t>
  </si>
  <si>
    <t xml:space="preserve">Total ETE in decimal hours  (e.g. 1.5 = 1 hr 30 min)</t>
  </si>
  <si>
    <t xml:space="preserve">Taxi &amp; Run-up Time</t>
  </si>
  <si>
    <t xml:space="preserve">~15 min is standard — adjust as needed</t>
  </si>
  <si>
    <t xml:space="preserve">FAA Reserve Required</t>
  </si>
  <si>
    <t xml:space="preserve">VFR day = 0.5 hrs (30 min)  |  VFR night / IFR = 0.75 hrs (45 min)  |  14 CFR 91.151 / 91.167</t>
  </si>
  <si>
    <t xml:space="preserve">Alternate Airport Time</t>
  </si>
  <si>
    <t xml:space="preserve">Required for IFR — add time en-route to alternate airport</t>
  </si>
  <si>
    <t xml:space="preserve">Fuel Calculations</t>
  </si>
  <si>
    <t xml:space="preserve">Fuel (gal)</t>
  </si>
  <si>
    <t xml:space="preserve">Time (hrs)</t>
  </si>
  <si>
    <t xml:space="preserve">Trip Fuel</t>
  </si>
  <si>
    <t xml:space="preserve">Flight time × GPH</t>
  </si>
  <si>
    <t xml:space="preserve">Taxi / Run-up Fuel</t>
  </si>
  <si>
    <t xml:space="preserve">Taxi time × GPH</t>
  </si>
  <si>
    <t xml:space="preserve">Reserve Fuel  (FAA minimum)</t>
  </si>
  <si>
    <t xml:space="preserve">Reserve time × GPH  |  Per 14 CFR 91.151 / 91.167</t>
  </si>
  <si>
    <t xml:space="preserve">Alternate Airport Fuel</t>
  </si>
  <si>
    <t xml:space="preserve">Alternate time × GPH  (IFR only)</t>
  </si>
  <si>
    <t xml:space="preserve">TOTAL FUEL REQUIRED</t>
  </si>
  <si>
    <t xml:space="preserve">Trip + Taxi + Reserve + Alternate</t>
  </si>
  <si>
    <t xml:space="preserve">Fuel On Board</t>
  </si>
  <si>
    <t xml:space="preserve">gal available</t>
  </si>
  <si>
    <t xml:space="preserve">Surplus / Deficit</t>
  </si>
  <si>
    <t xml:space="preserve">Positive = surplus.  Negative = you need more fuel.</t>
  </si>
  <si>
    <t xml:space="preserve">Max Endurance</t>
  </si>
  <si>
    <t xml:space="preserve">Full tanks at this burn rate (no reserve)</t>
  </si>
  <si>
    <t xml:space="preserve">Max Range (no reserve)</t>
  </si>
  <si>
    <t xml:space="preserve">Endurance × TAS</t>
  </si>
  <si>
    <t xml:space="preserve">FUEL STATUS</t>
  </si>
  <si>
    <t xml:space="preserve">Per-Leg Fuel Tracker</t>
  </si>
  <si>
    <t xml:space="preserve">Leg / Checkpoint</t>
  </si>
  <si>
    <t xml:space="preserve">ETE (min)</t>
  </si>
  <si>
    <t xml:space="preserve">Est. Used (gal)</t>
  </si>
  <si>
    <t xml:space="preserve">Est. Rem. (gal)</t>
  </si>
  <si>
    <t xml:space="preserve">Act. Used</t>
  </si>
  <si>
    <t xml:space="preserve">Act. Rem.</t>
  </si>
  <si>
    <t>PERFORMANCE</t>
  </si>
  <si>
    <t xml:space="preserve">Blue = your inputs.  Green = calculated.  POH lookup fields accept your pre-calculated values.</t>
  </si>
  <si>
    <t xml:space="preserve">Atmospheric Calculations</t>
  </si>
  <si>
    <t xml:space="preserve">Input Value</t>
  </si>
  <si>
    <t>Result</t>
  </si>
  <si>
    <t xml:space="preserve">Field Elevation</t>
  </si>
  <si>
    <t xml:space="preserve">ft MSL</t>
  </si>
  <si>
    <t xml:space="preserve">From airport info / sectional</t>
  </si>
  <si>
    <t xml:space="preserve">Altimeter Setting</t>
  </si>
  <si>
    <t>inHg</t>
  </si>
  <si>
    <t xml:space="preserve">From ATIS / AWOS</t>
  </si>
  <si>
    <t xml:space="preserve">Outside Air Temp (OAT)</t>
  </si>
  <si>
    <t>°C</t>
  </si>
  <si>
    <t xml:space="preserve">From ATIS / thermometer</t>
  </si>
  <si>
    <t xml:space="preserve">Pressure Altitude</t>
  </si>
  <si>
    <t xml:space="preserve">Field Elev + (29.92 minus Altimeter) x 1000</t>
  </si>
  <si>
    <t xml:space="preserve">Density Altitude</t>
  </si>
  <si>
    <t xml:space="preserve">PA + 120 x (OAT minus ISA temp at PA)</t>
  </si>
  <si>
    <t xml:space="preserve">ISA Temp at Pressure Alt</t>
  </si>
  <si>
    <t xml:space="preserve">Standard atmosphere — compare to your OAT</t>
  </si>
  <si>
    <t xml:space="preserve">Wind Components</t>
  </si>
  <si>
    <t xml:space="preserve">Runway Heading</t>
  </si>
  <si>
    <t>°</t>
  </si>
  <si>
    <t xml:space="preserve">Magnetic heading of runway in use</t>
  </si>
  <si>
    <t xml:space="preserve">Wind Direction</t>
  </si>
  <si>
    <t xml:space="preserve">° mag</t>
  </si>
  <si>
    <t xml:space="preserve">From ATIS — direction wind is FROM</t>
  </si>
  <si>
    <t xml:space="preserve">Wind Speed</t>
  </si>
  <si>
    <t xml:space="preserve">From ATIS</t>
  </si>
  <si>
    <t xml:space="preserve">Headwind Component</t>
  </si>
  <si>
    <t xml:space="preserve">Positive = headwind  |  Negative = tailwind</t>
  </si>
  <si>
    <t xml:space="preserve">Crosswind Component</t>
  </si>
  <si>
    <t xml:space="preserve">Always positive — check your aircraft max demo crosswind</t>
  </si>
  <si>
    <t xml:space="preserve">V-Speed Reference  (enter once from your POH)</t>
  </si>
  <si>
    <t>V-Speed</t>
  </si>
  <si>
    <t>KIAS</t>
  </si>
  <si>
    <t>Description</t>
  </si>
  <si>
    <t>Vso</t>
  </si>
  <si>
    <t xml:space="preserve">Stall — landing config (flaps/gear down)</t>
  </si>
  <si>
    <t>Vs1</t>
  </si>
  <si>
    <t xml:space="preserve">Stall — clean config</t>
  </si>
  <si>
    <t>Vr</t>
  </si>
  <si>
    <t xml:space="preserve">Rotation speed</t>
  </si>
  <si>
    <t>Vx</t>
  </si>
  <si>
    <t xml:space="preserve">Best angle of climb — obstacle clearance</t>
  </si>
  <si>
    <t>Vy</t>
  </si>
  <si>
    <t xml:space="preserve">Best rate of climb — altitude gain</t>
  </si>
  <si>
    <t>Va</t>
  </si>
  <si>
    <t xml:space="preserve">Maneuvering speed — max turbulence penetration</t>
  </si>
  <si>
    <t>Vfe</t>
  </si>
  <si>
    <t xml:space="preserve">Max flap extended speed</t>
  </si>
  <si>
    <t>Vno</t>
  </si>
  <si>
    <t xml:space="preserve">Max structural cruise speed</t>
  </si>
  <si>
    <t>Vne</t>
  </si>
  <si>
    <t xml:space="preserve">Never exceed speed</t>
  </si>
  <si>
    <t xml:space="preserve">Takeoff  (from POH graphs at today's density altitude)</t>
  </si>
  <si>
    <t xml:space="preserve">Ground Roll (ft)</t>
  </si>
  <si>
    <t>Surface</t>
  </si>
  <si>
    <t>Slope</t>
  </si>
  <si>
    <t xml:space="preserve">Obstacles / Notes</t>
  </si>
  <si>
    <t xml:space="preserve">Landing  (from POH graphs at today's density altitude)</t>
  </si>
  <si>
    <t>Climb</t>
  </si>
  <si>
    <t xml:space="preserve">Fly Vx (obstacle clearance)</t>
  </si>
  <si>
    <t xml:space="preserve">Link to your Vx above — use until clear of obstacles</t>
  </si>
  <si>
    <t xml:space="preserve">Fly Vy (best rate)</t>
  </si>
  <si>
    <t xml:space="preserve">Switch to Vy once clear — best altitude gain per minute</t>
  </si>
  <si>
    <t xml:space="preserve">Expected Climb Rate</t>
  </si>
  <si>
    <t>fpm</t>
  </si>
  <si>
    <t xml:space="preserve">From POH at today's density altitude — plan your time to cruise alt</t>
  </si>
  <si>
    <t xml:space="preserve">Time to Cruise Altitude</t>
  </si>
  <si>
    <t>min</t>
  </si>
  <si>
    <t xml:space="preserve">Calculate: (Cruise Alt − Field Elev) ÷ Climb Rate</t>
  </si>
  <si>
    <t xml:space="preserve">Fuel Used in Climb</t>
  </si>
  <si>
    <t xml:space="preserve">From POH climb table at density altitude</t>
  </si>
  <si>
    <t>Cruise</t>
  </si>
  <si>
    <t xml:space="preserve">Cruise Altitude</t>
  </si>
  <si>
    <t xml:space="preserve">Planned cruising altitude</t>
  </si>
  <si>
    <t xml:space="preserve">Power Setting</t>
  </si>
  <si>
    <t xml:space="preserve">% BHP</t>
  </si>
  <si>
    <t xml:space="preserve">From POH cruise table</t>
  </si>
  <si>
    <t xml:space="preserve">RPM / MAP</t>
  </si>
  <si>
    <t xml:space="preserve">TAS at Cruise</t>
  </si>
  <si>
    <t xml:space="preserve">From POH at density alt and power setting — feed to Nav Log</t>
  </si>
  <si>
    <t xml:space="preserve">Fuel Burn at Cruise</t>
  </si>
  <si>
    <t xml:space="preserve">From POH — feed to Fuel Required sheet GPH input</t>
  </si>
  <si>
    <t xml:space="preserve">PREFLIGHT PLANNING CHECKLIST</t>
  </si>
  <si>
    <t xml:space="preserve">Complete before every flight. Green = GO  |  Yellow = review  |  Red = NO-GO</t>
  </si>
  <si>
    <t xml:space="preserve">IMSAFE  —  Personal Minimums</t>
  </si>
  <si>
    <t xml:space="preserve">Honestly assess each item. One NO is a NO-GO.</t>
  </si>
  <si>
    <t xml:space="preserve">I — Illness</t>
  </si>
  <si>
    <t xml:space="preserve">Am I free of any illness or symptoms affecting flight safety?</t>
  </si>
  <si>
    <t xml:space="preserve">M — Medication</t>
  </si>
  <si>
    <t xml:space="preserve">Am I free of any medication that could impair judgment or performance?</t>
  </si>
  <si>
    <t xml:space="preserve">S — Stress</t>
  </si>
  <si>
    <t xml:space="preserve">Am I free of significant psychological stress?</t>
  </si>
  <si>
    <t xml:space="preserve">A — Alcohol</t>
  </si>
  <si>
    <t xml:space="preserve">8 hrs bottle to throttle. BAC below 0.04%. Last drink over 8 hrs ago?</t>
  </si>
  <si>
    <t xml:space="preserve">F — Fatigue</t>
  </si>
  <si>
    <t xml:space="preserve">Am I well rested and alert? Not fighting fatigue?</t>
  </si>
  <si>
    <t xml:space="preserve">E — Eating</t>
  </si>
  <si>
    <t xml:space="preserve">Am I properly hydrated and nourished for the flight?</t>
  </si>
  <si>
    <t xml:space="preserve">ARROW  —  Required Documents On Board</t>
  </si>
  <si>
    <t xml:space="preserve">All must be in the aircraft before departure.</t>
  </si>
  <si>
    <t xml:space="preserve">A — Airworthiness Certificate</t>
  </si>
  <si>
    <t xml:space="preserve">Original must be in aircraft — not a copy</t>
  </si>
  <si>
    <t xml:space="preserve">R — Registration</t>
  </si>
  <si>
    <t xml:space="preserve">Current — check expiry date</t>
  </si>
  <si>
    <t xml:space="preserve">R — Radio Station License</t>
  </si>
  <si>
    <t xml:space="preserve">Required for international flights</t>
  </si>
  <si>
    <t xml:space="preserve">O — Operating Handbook (POH)</t>
  </si>
  <si>
    <t xml:space="preserve">Current approved AFM/POH for this aircraft</t>
  </si>
  <si>
    <t xml:space="preserve">W — Weight &amp; Balance</t>
  </si>
  <si>
    <t xml:space="preserve">Current W&amp;B data — completed on this sheet</t>
  </si>
  <si>
    <t xml:space="preserve">Pilot Currency</t>
  </si>
  <si>
    <t xml:space="preserve">BFR — Biennial Flight Review</t>
  </si>
  <si>
    <t xml:space="preserve">Last date:</t>
  </si>
  <si>
    <t>Status:</t>
  </si>
  <si>
    <t xml:space="preserve">Last 3 Takeoffs &amp; Landings (day passengers)</t>
  </si>
  <si>
    <t xml:space="preserve">Last 3 Night T&amp;Ls (night passengers)</t>
  </si>
  <si>
    <t xml:space="preserve">Airspace &amp; Routing</t>
  </si>
  <si>
    <t xml:space="preserve">TFR Check completed</t>
  </si>
  <si>
    <t xml:space="preserve">tfr.faa.gov — check entire route including departure and destination</t>
  </si>
  <si>
    <t xml:space="preserve">Special Use Airspace reviewed</t>
  </si>
  <si>
    <t xml:space="preserve">MOAs, Restricted, Prohibited areas along route — active times checked</t>
  </si>
  <si>
    <t xml:space="preserve">Charts current</t>
  </si>
  <si>
    <t xml:space="preserve">Sectional, TAC, IFR charts — check expiry date on chart margin</t>
  </si>
  <si>
    <t xml:space="preserve">Class B / C / D airspace along route</t>
  </si>
  <si>
    <t xml:space="preserve">Clearances / radio contact requirements noted on Nav Log</t>
  </si>
  <si>
    <t xml:space="preserve">Flight plan filed (VFR or IFR)</t>
  </si>
  <si>
    <t xml:space="preserve">1800wxbrief.com or foreflight — include alternate if required</t>
  </si>
  <si>
    <t xml:space="preserve">Someone on the ground has your plan</t>
  </si>
  <si>
    <t xml:space="preserve">Name, route, destination, ETA — and what to do if not heard from</t>
  </si>
  <si>
    <t xml:space="preserve">Departure time noted / ETE calculated</t>
  </si>
  <si>
    <t xml:space="preserve">From Fuel Required and Nav Log sheets</t>
  </si>
  <si>
    <t xml:space="preserve">GO / NO-GO DECISION</t>
  </si>
  <si>
    <t xml:space="preserve">If in doubt, don't. The aircraft will be there tomorrow.</t>
  </si>
  <si>
    <t>Date</t>
  </si>
  <si>
    <t xml:space="preserve">Aircraft (Make &amp; Model)</t>
  </si>
  <si>
    <t xml:space="preserve">Aircraft Ident.</t>
  </si>
  <si>
    <t xml:space="preserve">Points of Departure &amp; Arrival</t>
  </si>
  <si>
    <t xml:space="preserve">Aircraft Category</t>
  </si>
  <si>
    <t xml:space="preserve">Ground Trainer</t>
  </si>
  <si>
    <t xml:space="preserve">Type of Piloting Time</t>
  </si>
  <si>
    <t xml:space="preserve">Conditions of Flight</t>
  </si>
  <si>
    <t xml:space="preserve">No. Instr. Appr.</t>
  </si>
  <si>
    <t xml:space="preserve">No. LDG.</t>
  </si>
  <si>
    <t xml:space="preserve">Total Duration of Flight</t>
  </si>
  <si>
    <t xml:space="preserve">Remarks, Procedures, Maneuvers</t>
  </si>
  <si>
    <t>From</t>
  </si>
  <si>
    <t>To</t>
  </si>
  <si>
    <t xml:space="preserve">Airplane SEL</t>
  </si>
  <si>
    <t xml:space="preserve">Airplane Mel</t>
  </si>
  <si>
    <t xml:space="preserve">Dual Recieved</t>
  </si>
  <si>
    <t>Pilot-in-Command</t>
  </si>
  <si>
    <t>Day</t>
  </si>
  <si>
    <t>Night</t>
  </si>
  <si>
    <t>Cross-Country</t>
  </si>
  <si>
    <t xml:space="preserve">Actual Instr.</t>
  </si>
  <si>
    <t xml:space="preserve">Simulated Instr.</t>
  </si>
  <si>
    <t xml:space="preserve">CURRENT FLIGHT  (auto-filled)  — Run LogFlight macro to commit to history below</t>
  </si>
  <si>
    <t xml:space="preserve">FLIGHT HISTORY  (rows added by LogFlight macro)</t>
  </si>
  <si>
    <t xml:space="preserve">LOGFLIGHT MACRO  —  OnlyOffice: View &gt; Macros &gt; New Macro &gt; paste code &gt; Run</t>
  </si>
  <si>
    <r>
      <rPr>
        <sz val="10.5"/>
        <rFont val="Consolas"/>
      </rPr>
      <t>(</t>
    </r>
    <r>
      <rPr>
        <sz val="10.5"/>
        <color indexed="4"/>
        <rFont val="Consolas"/>
      </rPr>
      <t>function</t>
    </r>
    <r>
      <rPr>
        <sz val="10.5"/>
        <rFont val="Consolas"/>
      </rPr>
      <t>()</t>
    </r>
  </si>
  <si>
    <t>{</t>
  </si>
  <si>
    <r>
      <rPr>
        <sz val="10.5"/>
        <rFont val="Consolas"/>
      </rPr>
      <t xml:space="preserve">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oSheet      = </t>
    </r>
    <r>
      <rPr>
        <sz val="10.5"/>
        <color indexed="21"/>
        <rFont val="Consolas"/>
      </rPr>
      <t>Api</t>
    </r>
    <r>
      <rPr>
        <sz val="10.5"/>
        <rFont val="Consolas"/>
      </rPr>
      <t>.</t>
    </r>
    <r>
      <rPr>
        <sz val="10.5"/>
        <color indexed="21"/>
        <rFont val="Consolas"/>
      </rPr>
      <t>GetActiveSheet</t>
    </r>
    <r>
      <rPr>
        <sz val="10.5"/>
        <rFont val="Consolas"/>
      </rPr>
      <t>();</t>
    </r>
  </si>
  <si>
    <r>
      <rPr>
        <sz val="10.5"/>
        <rFont val="Consolas"/>
      </rPr>
      <t xml:space="preserve">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pasteSheet  = </t>
    </r>
    <r>
      <rPr>
        <sz val="10.5"/>
        <color indexed="21"/>
        <rFont val="Consolas"/>
      </rPr>
      <t>Api</t>
    </r>
    <r>
      <rPr>
        <sz val="10.5"/>
        <rFont val="Consolas"/>
      </rPr>
      <t>.</t>
    </r>
    <r>
      <rPr>
        <sz val="10.5"/>
        <color indexed="21"/>
        <rFont val="Consolas"/>
      </rPr>
      <t>GetSheet</t>
    </r>
    <r>
      <rPr>
        <sz val="10.5"/>
        <rFont val="Consolas"/>
      </rPr>
      <t>(</t>
    </r>
    <r>
      <rPr>
        <sz val="10.5"/>
        <color rgb="FFA31515"/>
        <rFont val="Consolas"/>
      </rPr>
      <t xml:space="preserve">"Pilot Log"</t>
    </r>
    <r>
      <rPr>
        <sz val="10.5"/>
        <rFont val="Consolas"/>
      </rPr>
      <t>);</t>
    </r>
  </si>
  <si>
    <r>
      <rPr>
        <sz val="10.5"/>
        <rFont val="Consolas"/>
      </rPr>
      <t xml:space="preserve">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</t>
    </r>
    <r>
      <rPr>
        <sz val="10.5"/>
        <color indexed="21"/>
        <rFont val="Consolas"/>
      </rPr>
      <t>STAGING_ROW</t>
    </r>
    <r>
      <rPr>
        <sz val="10.5"/>
        <rFont val="Consolas"/>
      </rPr>
      <t xml:space="preserve"> = </t>
    </r>
    <r>
      <rPr>
        <sz val="10.5"/>
        <color rgb="FF098658"/>
        <rFont val="Consolas"/>
      </rPr>
      <t>3</t>
    </r>
    <r>
      <rPr>
        <sz val="10.5"/>
        <rFont val="Consolas"/>
      </rPr>
      <t xml:space="preserve">;  </t>
    </r>
    <r>
      <rPr>
        <sz val="10.5"/>
        <color indexed="17"/>
        <rFont val="Consolas"/>
      </rPr>
      <t xml:space="preserve">// Row 4 = index 3 (0-based)</t>
    </r>
  </si>
  <si>
    <r>
      <rPr>
        <sz val="10.5"/>
        <rFont val="Consolas"/>
      </rPr>
      <t xml:space="preserve">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</t>
    </r>
    <r>
      <rPr>
        <sz val="10.5"/>
        <color indexed="21"/>
        <rFont val="Consolas"/>
      </rPr>
      <t>NUM_COLS</t>
    </r>
    <r>
      <rPr>
        <sz val="10.5"/>
        <rFont val="Consolas"/>
      </rPr>
      <t xml:space="preserve">    = </t>
    </r>
    <r>
      <rPr>
        <sz val="10.5"/>
        <color rgb="FF098658"/>
        <rFont val="Consolas"/>
      </rPr>
      <t>21</t>
    </r>
    <r>
      <rPr>
        <sz val="10.5"/>
        <rFont val="Consolas"/>
      </rPr>
      <t xml:space="preserve">; </t>
    </r>
    <r>
      <rPr>
        <sz val="10.5"/>
        <color indexed="17"/>
        <rFont val="Consolas"/>
      </rPr>
      <t xml:space="preserve">// A to U</t>
    </r>
  </si>
  <si>
    <r>
      <rPr>
        <sz val="10.5"/>
        <rFont val="Consolas"/>
      </rPr>
      <t xml:space="preserve">    </t>
    </r>
    <r>
      <rPr>
        <sz val="10.5"/>
        <color indexed="17"/>
        <rFont val="Consolas"/>
      </rPr>
      <t xml:space="preserve">// Find next empty row starting from index 5 (row 6)</t>
    </r>
  </si>
  <si>
    <r>
      <rPr>
        <sz val="10.5"/>
        <rFont val="Consolas"/>
      </rPr>
      <t xml:space="preserve">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lastRow = </t>
    </r>
    <r>
      <rPr>
        <sz val="10.5"/>
        <color rgb="FF098658"/>
        <rFont val="Consolas"/>
      </rPr>
      <t>5</t>
    </r>
    <r>
      <rPr>
        <sz val="10.5"/>
        <rFont val="Consolas"/>
      </rPr>
      <t>;</t>
    </r>
  </si>
  <si>
    <r>
      <rPr>
        <sz val="10.5"/>
        <rFont val="Consolas"/>
      </rPr>
      <t xml:space="preserve">    </t>
    </r>
    <r>
      <rPr>
        <sz val="10.5"/>
        <color indexed="4"/>
        <rFont val="Consolas"/>
      </rPr>
      <t>while</t>
    </r>
    <r>
      <rPr>
        <sz val="10.5"/>
        <rFont val="Consolas"/>
      </rPr>
      <t xml:space="preserve"> (pasteSheet.</t>
    </r>
    <r>
      <rPr>
        <sz val="10.5"/>
        <color indexed="21"/>
        <rFont val="Consolas"/>
      </rPr>
      <t>GetRangeByNumber</t>
    </r>
    <r>
      <rPr>
        <sz val="10.5"/>
        <rFont val="Consolas"/>
      </rPr>
      <t xml:space="preserve">(lastRow, </t>
    </r>
    <r>
      <rPr>
        <sz val="10.5"/>
        <color rgb="FF098658"/>
        <rFont val="Consolas"/>
      </rPr>
      <t>0</t>
    </r>
    <r>
      <rPr>
        <sz val="10.5"/>
        <rFont val="Consolas"/>
      </rPr>
      <t xml:space="preserve">, lastRow, </t>
    </r>
    <r>
      <rPr>
        <sz val="10.5"/>
        <color rgb="FF098658"/>
        <rFont val="Consolas"/>
      </rPr>
      <t>0</t>
    </r>
    <r>
      <rPr>
        <sz val="10.5"/>
        <rFont val="Consolas"/>
      </rPr>
      <t>).</t>
    </r>
    <r>
      <rPr>
        <sz val="10.5"/>
        <color indexed="21"/>
        <rFont val="Consolas"/>
      </rPr>
      <t>GetValue</t>
    </r>
    <r>
      <rPr>
        <sz val="10.5"/>
        <rFont val="Consolas"/>
      </rPr>
      <t xml:space="preserve">() !== </t>
    </r>
    <r>
      <rPr>
        <sz val="10.5"/>
        <color rgb="FFA31515"/>
        <rFont val="Consolas"/>
      </rPr>
      <t>""</t>
    </r>
    <r>
      <rPr>
        <sz val="10.5"/>
        <rFont val="Consolas"/>
      </rPr>
      <t xml:space="preserve">) {</t>
    </r>
  </si>
  <si>
    <t xml:space="preserve">        lastRow++;</t>
  </si>
  <si>
    <r>
      <rPr>
        <sz val="10.5"/>
        <rFont val="Consolas"/>
      </rPr>
      <t xml:space="preserve">        </t>
    </r>
    <r>
      <rPr>
        <sz val="10.5"/>
        <color indexed="4"/>
        <rFont val="Consolas"/>
      </rPr>
      <t>if</t>
    </r>
    <r>
      <rPr>
        <sz val="10.5"/>
        <rFont val="Consolas"/>
      </rPr>
      <t xml:space="preserve"> (lastRow &gt; </t>
    </r>
    <r>
      <rPr>
        <sz val="10.5"/>
        <color rgb="FF098658"/>
        <rFont val="Consolas"/>
      </rPr>
      <t>9999</t>
    </r>
    <r>
      <rPr>
        <sz val="10.5"/>
        <rFont val="Consolas"/>
      </rPr>
      <t xml:space="preserve">) </t>
    </r>
    <r>
      <rPr>
        <sz val="10.5"/>
        <color indexed="4"/>
        <rFont val="Consolas"/>
      </rPr>
      <t>break</t>
    </r>
    <r>
      <rPr>
        <sz val="10.5"/>
        <rFont val="Consolas"/>
      </rPr>
      <t>;</t>
    </r>
  </si>
  <si>
    <t xml:space="preserve">    }</t>
  </si>
  <si>
    <r>
      <rPr>
        <sz val="10.5"/>
        <rFont val="Consolas"/>
      </rPr>
      <t xml:space="preserve">    </t>
    </r>
    <r>
      <rPr>
        <sz val="10.5"/>
        <color indexed="17"/>
        <rFont val="Consolas"/>
      </rPr>
      <t xml:space="preserve">// Copy each cell from staging row to next empty history row</t>
    </r>
  </si>
  <si>
    <r>
      <rPr>
        <sz val="10.5"/>
        <rFont val="Consolas"/>
      </rPr>
      <t xml:space="preserve">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oRange = pasteSheet.</t>
    </r>
    <r>
      <rPr>
        <sz val="10.5"/>
        <color indexed="21"/>
        <rFont val="Consolas"/>
      </rPr>
      <t>GetRange</t>
    </r>
    <r>
      <rPr>
        <sz val="10.5"/>
        <rFont val="Consolas"/>
      </rPr>
      <t>(</t>
    </r>
    <r>
      <rPr>
        <sz val="10.5"/>
        <color rgb="FFA31515"/>
        <rFont val="Consolas"/>
      </rPr>
      <t>"A4:U4"</t>
    </r>
    <r>
      <rPr>
        <sz val="10.5"/>
        <rFont val="Consolas"/>
      </rPr>
      <t>);</t>
    </r>
  </si>
  <si>
    <r>
      <rPr>
        <sz val="10.5"/>
        <rFont val="Consolas"/>
      </rPr>
      <t xml:space="preserve">    oRange.</t>
    </r>
    <r>
      <rPr>
        <sz val="10.5"/>
        <color indexed="21"/>
        <rFont val="Consolas"/>
      </rPr>
      <t>ForEach</t>
    </r>
    <r>
      <rPr>
        <sz val="10.5"/>
        <rFont val="Consolas"/>
      </rPr>
      <t>(</t>
    </r>
    <r>
      <rPr>
        <sz val="10.5"/>
        <color indexed="4"/>
        <rFont val="Consolas"/>
      </rPr>
      <t>function</t>
    </r>
    <r>
      <rPr>
        <sz val="10.5"/>
        <rFont val="Consolas"/>
      </rPr>
      <t xml:space="preserve">(cell) {</t>
    </r>
  </si>
  <si>
    <r>
      <rPr>
        <sz val="10.5"/>
        <rFont val="Consolas"/>
      </rPr>
      <t xml:space="preserve">    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col     = cell.</t>
    </r>
    <r>
      <rPr>
        <sz val="10.5"/>
        <color indexed="21"/>
        <rFont val="Consolas"/>
      </rPr>
      <t>GetCol</t>
    </r>
    <r>
      <rPr>
        <sz val="10.5"/>
        <rFont val="Consolas"/>
      </rPr>
      <t xml:space="preserve">() - </t>
    </r>
    <r>
      <rPr>
        <sz val="10.5"/>
        <color rgb="FF098658"/>
        <rFont val="Consolas"/>
      </rPr>
      <t>1</t>
    </r>
    <r>
      <rPr>
        <sz val="10.5"/>
        <rFont val="Consolas"/>
      </rPr>
      <t>;</t>
    </r>
  </si>
  <si>
    <r>
      <rPr>
        <sz val="10.5"/>
        <rFont val="Consolas"/>
      </rPr>
      <t xml:space="preserve">    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text    = cell.</t>
    </r>
    <r>
      <rPr>
        <sz val="10.5"/>
        <color indexed="21"/>
        <rFont val="Consolas"/>
      </rPr>
      <t>GetText</t>
    </r>
    <r>
      <rPr>
        <sz val="10.5"/>
        <rFont val="Consolas"/>
      </rPr>
      <t>();</t>
    </r>
  </si>
  <si>
    <r>
      <rPr>
        <sz val="10.5"/>
        <rFont val="Consolas"/>
      </rPr>
      <t xml:space="preserve">    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val     = cell.</t>
    </r>
    <r>
      <rPr>
        <sz val="10.5"/>
        <color indexed="21"/>
        <rFont val="Consolas"/>
      </rPr>
      <t>GetValue</t>
    </r>
    <r>
      <rPr>
        <sz val="10.5"/>
        <rFont val="Consolas"/>
      </rPr>
      <t>();</t>
    </r>
  </si>
  <si>
    <r>
      <rPr>
        <sz val="10.5"/>
        <rFont val="Consolas"/>
      </rPr>
      <t xml:space="preserve">        </t>
    </r>
    <r>
      <rPr>
        <sz val="10.5"/>
        <color indexed="4"/>
        <rFont val="Consolas"/>
      </rPr>
      <t>var</t>
    </r>
    <r>
      <rPr>
        <sz val="10.5"/>
        <rFont val="Consolas"/>
      </rPr>
      <t xml:space="preserve"> dstCell = pasteSheet.</t>
    </r>
    <r>
      <rPr>
        <sz val="10.5"/>
        <color indexed="21"/>
        <rFont val="Consolas"/>
      </rPr>
      <t>GetRangeByNumber</t>
    </r>
    <r>
      <rPr>
        <sz val="10.5"/>
        <rFont val="Consolas"/>
      </rPr>
      <t xml:space="preserve">(lastRow, col, lastRow, col);</t>
    </r>
  </si>
  <si>
    <r>
      <rPr>
        <sz val="10.5"/>
        <rFont val="Consolas"/>
      </rPr>
      <t xml:space="preserve">        </t>
    </r>
    <r>
      <rPr>
        <sz val="10.5"/>
        <color indexed="4"/>
        <rFont val="Consolas"/>
      </rPr>
      <t>if</t>
    </r>
    <r>
      <rPr>
        <sz val="10.5"/>
        <rFont val="Consolas"/>
      </rPr>
      <t xml:space="preserve"> (text === </t>
    </r>
    <r>
      <rPr>
        <sz val="10.5"/>
        <color rgb="FFA31515"/>
        <rFont val="Consolas"/>
      </rPr>
      <t>""</t>
    </r>
    <r>
      <rPr>
        <sz val="10.5"/>
        <rFont val="Consolas"/>
      </rPr>
      <t xml:space="preserve">) </t>
    </r>
    <r>
      <rPr>
        <sz val="10.5"/>
        <color indexed="4"/>
        <rFont val="Consolas"/>
      </rPr>
      <t>return</t>
    </r>
    <r>
      <rPr>
        <sz val="10.5"/>
        <rFont val="Consolas"/>
      </rPr>
      <t>;</t>
    </r>
  </si>
  <si>
    <r>
      <rPr>
        <sz val="10.5"/>
        <rFont val="Consolas"/>
      </rPr>
      <t xml:space="preserve">        </t>
    </r>
    <r>
      <rPr>
        <sz val="10.5"/>
        <color indexed="4"/>
        <rFont val="Consolas"/>
      </rPr>
      <t>if</t>
    </r>
    <r>
      <rPr>
        <sz val="10.5"/>
        <rFont val="Consolas"/>
      </rPr>
      <t xml:space="preserve"> (col === </t>
    </r>
    <r>
      <rPr>
        <sz val="10.5"/>
        <color rgb="FF098658"/>
        <rFont val="Consolas"/>
      </rPr>
      <t>0</t>
    </r>
    <r>
      <rPr>
        <sz val="10.5"/>
        <rFont val="Consolas"/>
      </rPr>
      <t xml:space="preserve">) {</t>
    </r>
  </si>
  <si>
    <r>
      <rPr>
        <sz val="10.5"/>
        <rFont val="Consolas"/>
      </rPr>
      <t xml:space="preserve">            </t>
    </r>
    <r>
      <rPr>
        <sz val="10.5"/>
        <color indexed="17"/>
        <rFont val="Consolas"/>
      </rPr>
      <t xml:space="preserve">// Date column — always paste as text to preserve formatting</t>
    </r>
  </si>
  <si>
    <r>
      <rPr>
        <sz val="10.5"/>
        <rFont val="Consolas"/>
      </rPr>
      <t xml:space="preserve">            dstCell.</t>
    </r>
    <r>
      <rPr>
        <sz val="10.5"/>
        <color indexed="21"/>
        <rFont val="Consolas"/>
      </rPr>
      <t>SetValue</t>
    </r>
    <r>
      <rPr>
        <sz val="10.5"/>
        <rFont val="Consolas"/>
      </rPr>
      <t>(text);</t>
    </r>
  </si>
  <si>
    <r>
      <rPr>
        <sz val="10.5"/>
        <rFont val="Consolas"/>
      </rPr>
      <t xml:space="preserve">        } </t>
    </r>
    <r>
      <rPr>
        <sz val="10.5"/>
        <color indexed="4"/>
        <rFont val="Consolas"/>
      </rPr>
      <t>else</t>
    </r>
    <r>
      <rPr>
        <sz val="10.5"/>
        <rFont val="Consolas"/>
      </rPr>
      <t xml:space="preserve"> </t>
    </r>
    <r>
      <rPr>
        <sz val="10.5"/>
        <color indexed="4"/>
        <rFont val="Consolas"/>
      </rPr>
      <t>if</t>
    </r>
    <r>
      <rPr>
        <sz val="10.5"/>
        <rFont val="Consolas"/>
      </rPr>
      <t xml:space="preserve"> (!isNaN(parseFloat(text)) &amp;&amp; isFinite(val)) {</t>
    </r>
  </si>
  <si>
    <r>
      <rPr>
        <sz val="10.5"/>
        <rFont val="Consolas"/>
      </rPr>
      <t xml:space="preserve">            dstCell.</t>
    </r>
    <r>
      <rPr>
        <sz val="10.5"/>
        <color indexed="21"/>
        <rFont val="Consolas"/>
      </rPr>
      <t>SetValue</t>
    </r>
    <r>
      <rPr>
        <sz val="10.5"/>
        <rFont val="Consolas"/>
      </rPr>
      <t>(val);</t>
    </r>
  </si>
  <si>
    <r>
      <rPr>
        <sz val="10.5"/>
        <rFont val="Consolas"/>
      </rPr>
      <t xml:space="preserve">        } </t>
    </r>
    <r>
      <rPr>
        <sz val="10.5"/>
        <color indexed="4"/>
        <rFont val="Consolas"/>
      </rPr>
      <t>else</t>
    </r>
    <r>
      <rPr>
        <sz val="10.5"/>
        <rFont val="Consolas"/>
      </rPr>
      <t xml:space="preserve"> {</t>
    </r>
  </si>
  <si>
    <t xml:space="preserve">        }</t>
  </si>
  <si>
    <t xml:space="preserve">    });</t>
  </si>
  <si>
    <r>
      <rPr>
        <sz val="10.5"/>
        <rFont val="Consolas"/>
      </rPr>
      <t xml:space="preserve">    </t>
    </r>
    <r>
      <rPr>
        <sz val="10.5"/>
        <color indexed="21"/>
        <rFont val="Consolas"/>
      </rPr>
      <t>Api</t>
    </r>
    <r>
      <rPr>
        <sz val="10.5"/>
        <rFont val="Consolas"/>
      </rPr>
      <t>.</t>
    </r>
    <r>
      <rPr>
        <sz val="10.5"/>
        <color indexed="21"/>
        <rFont val="Consolas"/>
      </rPr>
      <t>ShowStatusBar</t>
    </r>
    <r>
      <rPr>
        <sz val="10.5"/>
        <rFont val="Consolas"/>
      </rPr>
      <t>(</t>
    </r>
    <r>
      <rPr>
        <sz val="10.5"/>
        <color rgb="FFA31515"/>
        <rFont val="Consolas"/>
      </rPr>
      <t xml:space="preserve">"Flight logged in row "</t>
    </r>
    <r>
      <rPr>
        <sz val="10.5"/>
        <rFont val="Consolas"/>
      </rPr>
      <t xml:space="preserve"> + (lastRow + </t>
    </r>
    <r>
      <rPr>
        <sz val="10.5"/>
        <color rgb="FF098658"/>
        <rFont val="Consolas"/>
      </rPr>
      <t>1</t>
    </r>
    <r>
      <rPr>
        <sz val="10.5"/>
        <rFont val="Consolas"/>
      </rPr>
      <t xml:space="preserve">) + </t>
    </r>
    <r>
      <rPr>
        <sz val="10.5"/>
        <color rgb="FFA31515"/>
        <rFont val="Consolas"/>
      </rPr>
      <t xml:space="preserve">" of the Pilot Log!"</t>
    </r>
    <r>
      <rPr>
        <sz val="10.5"/>
        <rFont val="Consolas"/>
      </rPr>
      <t>);</t>
    </r>
  </si>
  <si>
    <t>})();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</si>
</sst>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4">
    <numFmt numFmtId="164" formatCode="MM/DD/YYYY"/>
    <numFmt numFmtId="165" formatCode="h:mm;@"/>
    <numFmt numFmtId="166" formatCode="[$-F400]h:mm:ss AM/PM"/>
    <numFmt numFmtId="167" formatCode="0.0"/>
    <numFmt numFmtId="168" formatCode="#,##0.0"/>
    <numFmt numFmtId="169" formatCode="0.00&quot;  in&quot;"/>
    <numFmt numFmtId="170" formatCode="0.0&quot; gal&quot;"/>
    <numFmt numFmtId="171" formatCode="0.0&quot; hrs&quot;"/>
    <numFmt numFmtId="172" formatCode="0&quot; nm&quot;"/>
    <numFmt numFmtId="173" formatCode="0&quot; ft&quot;"/>
    <numFmt numFmtId="174" formatCode="0.0&quot;°C&quot;"/>
    <numFmt numFmtId="175" formatCode="0.0&quot; kts&quot;"/>
    <numFmt numFmtId="176" formatCode="0&quot; KIAS&quot;"/>
    <numFmt numFmtId="177" formatCode="0.0&quot;%&quot;"/>
  </numFmts>
  <fonts count="33">
    <font>
      <sz val="11.000000"/>
      <color theme="1"/>
      <name val="Calibri"/>
      <scheme val="minor"/>
    </font>
    <font>
      <b/>
      <sz val="12.000000"/>
      <name val="Arial"/>
    </font>
    <font>
      <b/>
      <sz val="9.000000"/>
      <name val="Arial"/>
    </font>
    <font>
      <b/>
      <sz val="11.000000"/>
      <color indexed="4"/>
      <name val="Arial"/>
    </font>
    <font>
      <sz val="9.000000"/>
      <name val="Arial"/>
    </font>
    <font>
      <b/>
      <sz val="8.000000"/>
      <name val="Arial"/>
    </font>
    <font>
      <b/>
      <sz val="7.000000"/>
      <name val="Arial"/>
    </font>
    <font>
      <b/>
      <sz val="12.000000"/>
      <color indexed="65"/>
      <name val="Arial"/>
    </font>
    <font>
      <i/>
      <sz val="7.000000"/>
      <color rgb="FF595959"/>
      <name val="Arial"/>
    </font>
    <font>
      <b/>
      <sz val="10.000000"/>
      <name val="Arial"/>
    </font>
    <font>
      <b/>
      <sz val="9.000000"/>
      <color indexed="4"/>
      <name val="Arial"/>
    </font>
    <font>
      <sz val="7.000000"/>
      <name val="Arial"/>
    </font>
    <font>
      <sz val="8.000000"/>
      <name val="Arial"/>
    </font>
    <font>
      <b/>
      <sz val="11.000000"/>
      <color theme="1"/>
      <name val="Calibri"/>
      <scheme val="minor"/>
    </font>
    <font>
      <b/>
      <sz val="13.000000"/>
      <name val="Arial"/>
    </font>
    <font>
      <i/>
      <sz val="8.000000"/>
      <color rgb="FF595959"/>
      <name val="Arial"/>
    </font>
    <font>
      <b/>
      <sz val="10.000000"/>
      <color indexed="4"/>
      <name val="Arial"/>
    </font>
    <font>
      <b/>
      <sz val="11.000000"/>
      <name val="Arial"/>
    </font>
    <font>
      <b/>
      <sz val="10.000000"/>
      <color indexed="17"/>
      <name val="Arial"/>
    </font>
    <font>
      <sz val="9.000000"/>
      <color indexed="17"/>
      <name val="Arial"/>
    </font>
    <font>
      <sz val="9.000000"/>
      <color indexed="4"/>
      <name val="Arial"/>
    </font>
    <font>
      <sz val="12.000000"/>
      <name val="Arial"/>
    </font>
    <font>
      <i/>
      <sz val="9.000000"/>
      <color rgb="FF595959"/>
      <name val="Arial"/>
    </font>
    <font>
      <b/>
      <i/>
      <sz val="8.000000"/>
      <color indexed="65"/>
      <name val="Arial"/>
    </font>
    <font>
      <b/>
      <sz val="9.000000"/>
      <color indexed="17"/>
      <name val="Arial"/>
    </font>
    <font>
      <b/>
      <i/>
      <sz val="8.000000"/>
      <color rgb="FF595959"/>
      <name val="Arial"/>
    </font>
    <font>
      <b/>
      <sz val="11.000000"/>
      <color indexed="65"/>
      <name val="Arial"/>
    </font>
    <font>
      <sz val="10.500000"/>
      <name val="Consolas"/>
    </font>
    <font>
      <sz val="10.500000"/>
      <color indexed="17"/>
      <name val="Consolas"/>
    </font>
    <font>
      <sz val="10.000000"/>
      <name val="Courier New"/>
    </font>
    <font>
      <sz val="10.500000"/>
      <color indexed="18"/>
      <name val="Consolas"/>
    </font>
    <font>
      <sz val="10.000000"/>
      <color indexed="18"/>
      <name val="Courier New"/>
    </font>
    <font>
      <sz val="10.000000"/>
      <color indexed="17"/>
      <name val="Courier New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indexed="65"/>
      </patternFill>
    </fill>
    <fill>
      <patternFill patternType="solid">
        <fgColor theme="0" tint="0"/>
        <bgColor theme="0" tint="0"/>
      </patternFill>
    </fill>
    <fill>
      <patternFill patternType="solid">
        <fgColor rgb="FFFFFACD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ACD"/>
        <bgColor rgb="FFFFFACD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F4E79"/>
      </patternFill>
    </fill>
  </fills>
  <borders count="2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0" fillId="0" borderId="2" numFmtId="0" xfId="0" applyBorder="1" quotePrefix="0" pivotButton="0"/>
    <xf fontId="0" fillId="0" borderId="3" numFmtId="0" xfId="0" applyBorder="1" quotePrefix="0" pivotButton="0"/>
    <xf fontId="2" fillId="2" borderId="1" numFmtId="0" xfId="0" applyFont="1" applyFill="1" applyBorder="1" applyAlignment="1" quotePrefix="0" pivotButton="0">
      <alignment horizontal="right" vertical="center"/>
    </xf>
    <xf fontId="3" fillId="3" borderId="1" numFmtId="164" xfId="0" applyNumberFormat="1" applyFont="1" applyFill="1" applyBorder="1" applyAlignment="1" quotePrefix="0" pivotButton="0">
      <alignment horizontal="center" vertical="center"/>
    </xf>
    <xf fontId="4" fillId="2" borderId="1" numFmtId="0" xfId="0" applyFont="1" applyFill="1" applyBorder="1" applyAlignment="1" quotePrefix="0" pivotButton="0">
      <alignment horizontal="center" vertical="center" wrapText="1"/>
    </xf>
    <xf fontId="0" fillId="0" borderId="4" numFmtId="0" xfId="0" applyBorder="1" quotePrefix="0" pivotButton="0"/>
    <xf fontId="5" fillId="2" borderId="1" numFmtId="0" xfId="0" applyFont="1" applyFill="1" applyBorder="1" applyAlignment="1" quotePrefix="0" pivotButton="0">
      <alignment horizontal="center" vertical="center" wrapText="1"/>
    </xf>
    <xf fontId="5" fillId="2" borderId="3" numFmtId="0" xfId="0" applyFont="1" applyFill="1" applyBorder="1" applyAlignment="1" quotePrefix="0" pivotButton="0">
      <alignment horizontal="center" vertical="center" wrapText="1"/>
    </xf>
    <xf fontId="0" fillId="0" borderId="5" numFmtId="0" xfId="0" applyBorder="1" quotePrefix="0" pivotButton="0"/>
    <xf fontId="0" fillId="0" borderId="6" numFmtId="0" xfId="0" applyBorder="1" quotePrefix="0" pivotButton="0"/>
    <xf fontId="5" fillId="2" borderId="1" numFmtId="0" xfId="0" applyFont="1" applyFill="1" applyBorder="1" applyAlignment="1" quotePrefix="0" pivotButton="0">
      <alignment horizontal="center" vertical="center"/>
    </xf>
    <xf fontId="5" fillId="2" borderId="7" numFmtId="0" xfId="0" applyFont="1" applyFill="1" applyBorder="1" applyAlignment="1" quotePrefix="0" pivotButton="0">
      <alignment horizontal="center" vertical="center"/>
    </xf>
    <xf fontId="0" fillId="0" borderId="7" numFmtId="0" xfId="0" applyBorder="1" quotePrefix="0" pivotButton="0"/>
    <xf fontId="2" fillId="2" borderId="1" numFmtId="0" xfId="0" applyFont="1" applyFill="1" applyBorder="1" applyAlignment="1" quotePrefix="0" pivotButton="0">
      <alignment horizontal="center" vertical="center"/>
    </xf>
    <xf fontId="4" fillId="3" borderId="1" numFmtId="0" xfId="0" applyFont="1" applyFill="1" applyBorder="1" applyAlignment="1" quotePrefix="0" pivotButton="0">
      <alignment horizontal="center" vertical="center"/>
    </xf>
    <xf fontId="1" fillId="2" borderId="1" numFmtId="0" xfId="0" applyFont="1" applyFill="1" applyBorder="1" applyAlignment="1" quotePrefix="0" pivotButton="0">
      <alignment horizontal="center" vertical="center" wrapText="1"/>
    </xf>
    <xf fontId="6" fillId="2" borderId="1" numFmtId="0" xfId="0" applyFont="1" applyFill="1" applyBorder="1" applyAlignment="1" quotePrefix="0" pivotButton="0">
      <alignment horizontal="center" vertical="center"/>
    </xf>
    <xf fontId="4" fillId="3" borderId="1" numFmtId="165" xfId="0" applyNumberFormat="1" applyFont="1" applyFill="1" applyBorder="1" applyAlignment="1" quotePrefix="0" pivotButton="0">
      <alignment horizontal="center" vertical="center"/>
    </xf>
    <xf fontId="4" fillId="3" borderId="1" numFmtId="166" xfId="0" applyNumberFormat="1" applyFont="1" applyFill="1" applyBorder="1" applyAlignment="1" quotePrefix="0" pivotButton="0">
      <alignment horizontal="center" vertical="center"/>
    </xf>
    <xf fontId="0" fillId="0" borderId="8" numFmtId="0" xfId="0" applyBorder="1" quotePrefix="0" pivotButton="0"/>
    <xf fontId="0" fillId="0" borderId="9" numFmtId="0" xfId="0" applyBorder="1" quotePrefix="0" pivotButton="0"/>
    <xf fontId="0" fillId="0" borderId="10" numFmtId="0" xfId="0" applyBorder="1" quotePrefix="0" pivotButton="0"/>
    <xf fontId="2" fillId="2" borderId="1" numFmtId="0" xfId="0" applyFont="1" applyFill="1" applyBorder="1" applyAlignment="1" quotePrefix="0" pivotButton="0">
      <alignment horizontal="left" vertical="center" wrapText="1"/>
    </xf>
    <xf fontId="4" fillId="3" borderId="1" numFmtId="0" xfId="0" applyFont="1" applyFill="1" applyBorder="1" applyAlignment="1" quotePrefix="0" pivotButton="0">
      <alignment horizontal="left" vertical="top" wrapText="1"/>
    </xf>
    <xf fontId="2" fillId="2" borderId="1" numFmtId="0" xfId="0" applyFont="1" applyFill="1" applyBorder="1" applyAlignment="1" quotePrefix="0" pivotButton="0">
      <alignment horizontal="center" vertical="center" wrapText="1"/>
    </xf>
    <xf fontId="0" fillId="0" borderId="11" numFmtId="0" xfId="0" applyBorder="1" quotePrefix="0" pivotButton="0"/>
    <xf fontId="0" fillId="0" borderId="12" numFmtId="0" xfId="0" applyBorder="1" quotePrefix="0" pivotButton="0"/>
    <xf fontId="4" fillId="3" borderId="1" numFmtId="0" xfId="0" applyFont="1" applyFill="1" applyBorder="1" applyAlignment="1" quotePrefix="0" pivotButton="0">
      <alignment horizontal="left" vertical="top"/>
    </xf>
    <xf fontId="7" fillId="4" borderId="1" numFmtId="0" xfId="0" applyFont="1" applyFill="1" applyBorder="1" applyAlignment="1" quotePrefix="0" pivotButton="0">
      <alignment vertical="center"/>
    </xf>
    <xf fontId="8" fillId="0" borderId="0" numFmtId="0" xfId="0" applyFont="1" applyAlignment="1" quotePrefix="0" pivotButton="0">
      <alignment vertical="center" wrapText="1"/>
    </xf>
    <xf fontId="9" fillId="2" borderId="13" numFmtId="0" xfId="0" applyFont="1" applyFill="1" applyBorder="1" applyAlignment="1" quotePrefix="0" pivotButton="0">
      <alignment horizontal="center" vertical="center" wrapText="1"/>
    </xf>
    <xf fontId="9" fillId="5" borderId="3" numFmtId="0" xfId="0" applyFont="1" applyFill="1" applyBorder="1" applyAlignment="1" quotePrefix="0" pivotButton="0">
      <alignment horizontal="center" vertical="center" wrapText="1"/>
    </xf>
    <xf fontId="9" fillId="6" borderId="2" numFmtId="0" xfId="0" applyFont="1" applyFill="1" applyBorder="1" applyAlignment="1" quotePrefix="0" pivotButton="0">
      <alignment horizontal="center" vertical="center" wrapText="1"/>
    </xf>
    <xf fontId="5" fillId="2" borderId="1" numFmtId="0" xfId="0" applyFont="1" applyFill="1" applyBorder="1" applyAlignment="1" quotePrefix="0" pivotButton="0">
      <alignment horizontal="right" vertical="center" wrapText="1"/>
    </xf>
    <xf fontId="10" fillId="6" borderId="1" numFmtId="167" xfId="0" applyNumberFormat="1" applyFont="1" applyFill="1" applyBorder="1" applyAlignment="1" quotePrefix="0" pivotButton="0">
      <alignment horizontal="center" vertical="center"/>
    </xf>
    <xf fontId="11" fillId="2" borderId="9" numFmtId="0" xfId="0" applyFont="1" applyFill="1" applyBorder="1" applyAlignment="1" quotePrefix="0" pivotButton="0">
      <alignment horizontal="center" vertical="center"/>
    </xf>
    <xf fontId="9" fillId="2" borderId="1" numFmtId="0" xfId="0" applyFont="1" applyFill="1" applyBorder="1" applyAlignment="1" quotePrefix="0" pivotButton="0">
      <alignment vertical="center" wrapText="1"/>
    </xf>
    <xf fontId="0" fillId="3" borderId="3" numFmtId="0" xfId="0" applyFill="1" applyBorder="1" applyAlignment="1" quotePrefix="0" pivotButton="0">
      <alignment horizontal="center"/>
    </xf>
    <xf fontId="9" fillId="2" borderId="1" numFmtId="0" xfId="0" applyFont="1" applyFill="1" applyBorder="1" applyAlignment="1" quotePrefix="0" pivotButton="0">
      <alignment vertical="top" wrapText="1"/>
    </xf>
    <xf fontId="5" fillId="2" borderId="14" numFmtId="0" xfId="0" applyFont="1" applyFill="1" applyBorder="1" applyAlignment="1" quotePrefix="0" pivotButton="0">
      <alignment horizontal="center" vertical="center" wrapText="1"/>
    </xf>
    <xf fontId="12" fillId="2" borderId="1" numFmtId="0" xfId="0" applyFont="1" applyFill="1" applyBorder="1" applyAlignment="1" quotePrefix="0" pivotButton="0">
      <alignment horizontal="center" vertical="center"/>
    </xf>
    <xf fontId="12" fillId="5" borderId="1" numFmtId="0" xfId="0" applyFont="1" applyFill="1" applyBorder="1" applyAlignment="1" quotePrefix="0" pivotButton="0">
      <alignment horizontal="center" vertical="center" wrapText="1"/>
    </xf>
    <xf fontId="12" fillId="2" borderId="1" numFmtId="0" xfId="0" applyFont="1" applyFill="1" applyBorder="1" applyAlignment="1" quotePrefix="0" pivotButton="0">
      <alignment horizontal="center" vertical="center" wrapText="1"/>
    </xf>
    <xf fontId="12" fillId="3" borderId="1" numFmtId="0" xfId="0" applyFont="1" applyFill="1" applyBorder="1" applyAlignment="1" quotePrefix="0" pivotButton="0">
      <alignment horizontal="center" vertical="center" wrapText="1"/>
    </xf>
    <xf fontId="12" fillId="5" borderId="1" numFmtId="0" xfId="0" applyFont="1" applyFill="1" applyBorder="1" applyAlignment="1" quotePrefix="0" pivotButton="0">
      <alignment vertical="center" wrapText="1"/>
    </xf>
    <xf fontId="0" fillId="3" borderId="1" numFmtId="0" xfId="0" applyFill="1" applyBorder="1" applyAlignment="1" quotePrefix="0" pivotButton="0">
      <alignment horizontal="center" vertical="center"/>
    </xf>
    <xf fontId="0" fillId="5" borderId="1" numFmtId="1" xfId="0" applyNumberFormat="1" applyFill="1" applyBorder="1" applyAlignment="1" quotePrefix="0" pivotButton="0">
      <alignment horizontal="center" vertical="center"/>
    </xf>
    <xf fontId="12" fillId="5" borderId="1" numFmtId="1" xfId="0" applyNumberFormat="1" applyFont="1" applyFill="1" applyBorder="1" applyAlignment="1" quotePrefix="0" pivotButton="0">
      <alignment horizontal="center" vertical="center"/>
    </xf>
    <xf fontId="0" fillId="3" borderId="1" numFmtId="0" xfId="0" applyFill="1" applyBorder="1" quotePrefix="0" pivotButton="0"/>
    <xf fontId="0" fillId="3" borderId="1" numFmtId="167" xfId="0" applyNumberFormat="1" applyFill="1" applyBorder="1" applyAlignment="1" quotePrefix="0" pivotButton="0">
      <alignment horizontal="center" vertical="center"/>
    </xf>
    <xf fontId="0" fillId="5" borderId="1" numFmtId="0" xfId="0" applyFill="1" applyBorder="1" applyAlignment="1" quotePrefix="0" pivotButton="0">
      <alignment horizontal="center" vertical="center"/>
    </xf>
    <xf fontId="0" fillId="5" borderId="1" numFmtId="2" xfId="0" applyNumberFormat="1" applyFill="1" applyBorder="1" applyAlignment="1" quotePrefix="0" pivotButton="0">
      <alignment horizontal="center" vertical="center"/>
    </xf>
    <xf fontId="0" fillId="5" borderId="1" numFmtId="165" xfId="0" applyNumberFormat="1" applyFill="1" applyBorder="1" applyAlignment="1" quotePrefix="0" pivotButton="0">
      <alignment horizontal="center" vertical="center"/>
    </xf>
    <xf fontId="0" fillId="5" borderId="1" numFmtId="167" xfId="0" applyNumberFormat="1" applyFill="1" applyBorder="1" applyAlignment="1" quotePrefix="0" pivotButton="0">
      <alignment horizontal="center" vertical="center"/>
    </xf>
    <xf fontId="12" fillId="6" borderId="1" numFmtId="0" xfId="0" applyFont="1" applyFill="1" applyBorder="1" applyAlignment="1" quotePrefix="0" pivotButton="0">
      <alignment horizontal="center" vertical="center" wrapText="1"/>
    </xf>
    <xf fontId="5" fillId="7" borderId="1" numFmtId="0" xfId="0" applyFont="1" applyFill="1" applyBorder="1" applyAlignment="1" quotePrefix="0" pivotButton="0">
      <alignment horizontal="center" vertical="center" wrapText="1"/>
    </xf>
    <xf fontId="12" fillId="3" borderId="1" numFmtId="0" xfId="0" applyFont="1" applyFill="1" applyBorder="1" applyAlignment="1" quotePrefix="0" pivotButton="0">
      <alignment vertical="center" wrapText="1"/>
    </xf>
    <xf fontId="5" fillId="7" borderId="14" numFmtId="0" xfId="0" applyFont="1" applyFill="1" applyBorder="1" applyAlignment="1" quotePrefix="0" pivotButton="0">
      <alignment horizontal="center" vertical="center" wrapText="1"/>
    </xf>
    <xf fontId="12" fillId="6" borderId="14" numFmtId="0" xfId="0" applyFont="1" applyFill="1" applyBorder="1" applyAlignment="1" quotePrefix="0" pivotButton="0">
      <alignment horizontal="center" vertical="center" wrapText="1"/>
    </xf>
    <xf fontId="12" fillId="6" borderId="11" numFmtId="0" xfId="0" applyFont="1" applyFill="1" applyBorder="1" applyAlignment="1" quotePrefix="0" pivotButton="0">
      <alignment horizontal="center" vertical="center" wrapText="1"/>
    </xf>
    <xf fontId="13" fillId="7" borderId="15" numFmtId="0" xfId="0" applyFont="1" applyFill="1" applyBorder="1" applyAlignment="1" quotePrefix="0" pivotButton="0">
      <alignment horizontal="center" vertical="center"/>
    </xf>
    <xf fontId="0" fillId="0" borderId="16" numFmtId="0" xfId="0" applyBorder="1" quotePrefix="0" pivotButton="0"/>
    <xf fontId="12" fillId="6" borderId="15" numFmtId="0" xfId="0" applyFont="1" applyFill="1" applyBorder="1" applyAlignment="1" quotePrefix="0" pivotButton="0">
      <alignment horizontal="center" vertical="center" wrapText="1"/>
    </xf>
    <xf fontId="0" fillId="0" borderId="17" numFmtId="0" xfId="0" applyBorder="1" quotePrefix="0" pivotButton="0"/>
    <xf fontId="0" fillId="0" borderId="18" numFmtId="0" xfId="0" applyBorder="1" quotePrefix="0" pivotButton="0"/>
    <xf fontId="0" fillId="0" borderId="19" numFmtId="0" xfId="0" applyBorder="1" quotePrefix="0" pivotButton="0"/>
    <xf fontId="0" fillId="0" borderId="20" numFmtId="0" xfId="0" applyBorder="1" quotePrefix="0" pivotButton="0"/>
    <xf fontId="0" fillId="0" borderId="21" numFmtId="0" xfId="0" applyBorder="1" quotePrefix="0" pivotButton="0"/>
    <xf fontId="0" fillId="0" borderId="22" numFmtId="0" xfId="0" applyBorder="1" quotePrefix="0" pivotButton="0"/>
    <xf fontId="0" fillId="2" borderId="1" numFmtId="0" xfId="0" applyFill="1" applyBorder="1" quotePrefix="0" pivotButton="0"/>
    <xf fontId="2" fillId="2" borderId="1" numFmtId="167" xfId="0" applyNumberFormat="1" applyFont="1" applyFill="1" applyBorder="1" applyAlignment="1" quotePrefix="0" pivotButton="0">
      <alignment horizontal="center" vertical="center"/>
    </xf>
    <xf fontId="14" fillId="2" borderId="1" numFmtId="0" xfId="0" applyFont="1" applyFill="1" applyBorder="1" applyAlignment="1" quotePrefix="0" pivotButton="0">
      <alignment horizontal="center" vertical="center" wrapText="1"/>
    </xf>
    <xf fontId="15" fillId="2" borderId="1" numFmtId="0" xfId="0" applyFont="1" applyFill="1" applyBorder="1" applyAlignment="1" quotePrefix="0" pivotButton="0">
      <alignment horizontal="left" vertical="center" wrapText="1"/>
    </xf>
    <xf fontId="4" fillId="3" borderId="1" numFmtId="0" xfId="0" applyFont="1" applyFill="1" applyBorder="1" applyAlignment="1" quotePrefix="0" pivotButton="0">
      <alignment horizontal="left" vertical="center" wrapText="1"/>
    </xf>
    <xf fontId="16" fillId="3" borderId="1" numFmtId="167" xfId="0" applyNumberFormat="1" applyFont="1" applyFill="1" applyBorder="1" applyAlignment="1" quotePrefix="0" pivotButton="0">
      <alignment horizontal="center" vertical="center"/>
    </xf>
    <xf fontId="12" fillId="3" borderId="1" numFmtId="0" xfId="0" applyFont="1" applyFill="1" applyBorder="1" applyAlignment="1" quotePrefix="0" pivotButton="0">
      <alignment horizontal="center" vertical="center"/>
    </xf>
    <xf fontId="15" fillId="3" borderId="1" numFmtId="0" xfId="0" applyFont="1" applyFill="1" applyBorder="1" applyAlignment="1" quotePrefix="0" pivotButton="0">
      <alignment horizontal="left" vertical="center" wrapText="1"/>
    </xf>
    <xf fontId="17" fillId="2" borderId="1" numFmtId="0" xfId="0" applyFont="1" applyFill="1" applyBorder="1" applyAlignment="1" quotePrefix="0" pivotButton="0">
      <alignment horizontal="center" vertical="center" wrapText="1"/>
    </xf>
    <xf fontId="18" fillId="5" borderId="1" numFmtId="167" xfId="0" applyNumberFormat="1" applyFont="1" applyFill="1" applyBorder="1" applyAlignment="1" quotePrefix="0" pivotButton="0">
      <alignment horizontal="center" vertical="center"/>
    </xf>
    <xf fontId="4" fillId="5" borderId="1" numFmtId="168" xfId="0" applyNumberFormat="1" applyFont="1" applyFill="1" applyBorder="1" applyAlignment="1" quotePrefix="0" pivotButton="0">
      <alignment horizontal="center" vertical="center"/>
    </xf>
    <xf fontId="9" fillId="2" borderId="1" numFmtId="0" xfId="0" applyFont="1" applyFill="1" applyBorder="1" applyAlignment="1" quotePrefix="0" pivotButton="0">
      <alignment horizontal="center" vertical="center" wrapText="1"/>
    </xf>
    <xf fontId="17" fillId="2" borderId="1" numFmtId="167" xfId="0" applyNumberFormat="1" applyFont="1" applyFill="1" applyBorder="1" applyAlignment="1" quotePrefix="0" pivotButton="0">
      <alignment horizontal="center" vertical="center"/>
    </xf>
    <xf fontId="4" fillId="2" borderId="1" numFmtId="0" xfId="0" applyFont="1" applyFill="1" applyBorder="1" applyAlignment="1" quotePrefix="0" pivotButton="0">
      <alignment horizontal="center" vertical="center"/>
    </xf>
    <xf fontId="17" fillId="2" borderId="1" numFmtId="168" xfId="0" applyNumberFormat="1" applyFont="1" applyFill="1" applyBorder="1" applyAlignment="1" quotePrefix="0" pivotButton="0">
      <alignment horizontal="center" vertical="center"/>
    </xf>
    <xf fontId="1" fillId="5" borderId="1" numFmtId="169" xfId="0" applyNumberFormat="1" applyFont="1" applyFill="1" applyBorder="1" applyAlignment="1" quotePrefix="0" pivotButton="0">
      <alignment horizontal="center" vertical="center"/>
    </xf>
    <xf fontId="9" fillId="5" borderId="1" numFmtId="0" xfId="0" applyFont="1" applyFill="1" applyBorder="1" applyAlignment="1" quotePrefix="0" pivotButton="0">
      <alignment horizontal="center" vertical="center"/>
    </xf>
    <xf fontId="4" fillId="3" borderId="1" numFmtId="0" xfId="0" applyFont="1" applyFill="1" applyBorder="1" applyAlignment="1" quotePrefix="0" pivotButton="0">
      <alignment horizontal="center" vertical="center" wrapText="1"/>
    </xf>
    <xf fontId="18" fillId="5" borderId="1" numFmtId="2" xfId="0" applyNumberFormat="1" applyFont="1" applyFill="1" applyBorder="1" applyAlignment="1" quotePrefix="0" pivotButton="0">
      <alignment horizontal="center" vertical="center"/>
    </xf>
    <xf fontId="16" fillId="3" borderId="1" numFmtId="2" xfId="0" applyNumberFormat="1" applyFont="1" applyFill="1" applyBorder="1" applyAlignment="1" quotePrefix="0" pivotButton="0">
      <alignment horizontal="center" vertical="center"/>
    </xf>
    <xf fontId="16" fillId="8" borderId="1" numFmtId="2" xfId="0" applyNumberFormat="1" applyFont="1" applyFill="1" applyBorder="1" applyAlignment="1" quotePrefix="0" pivotButton="0">
      <alignment horizontal="center" vertical="center"/>
    </xf>
    <xf fontId="4" fillId="5" borderId="1" numFmtId="167" xfId="0" applyNumberFormat="1" applyFont="1" applyFill="1" applyBorder="1" applyAlignment="1" quotePrefix="0" pivotButton="0">
      <alignment horizontal="center" vertical="center"/>
    </xf>
    <xf fontId="4" fillId="5" borderId="1" numFmtId="2" xfId="0" applyNumberFormat="1" applyFont="1" applyFill="1" applyBorder="1" applyAlignment="1" quotePrefix="0" pivotButton="0">
      <alignment horizontal="center" vertical="center"/>
    </xf>
    <xf fontId="4" fillId="3" borderId="1" numFmtId="0" xfId="0" applyFont="1" applyFill="1" applyBorder="1" applyAlignment="1" quotePrefix="0" pivotButton="0">
      <alignment horizontal="left" vertical="center"/>
    </xf>
    <xf fontId="17" fillId="5" borderId="1" numFmtId="170" xfId="0" applyNumberFormat="1" applyFont="1" applyFill="1" applyBorder="1" applyAlignment="1" quotePrefix="0" pivotButton="0">
      <alignment horizontal="center" vertical="center"/>
    </xf>
    <xf fontId="4" fillId="5" borderId="1" numFmtId="171" xfId="0" applyNumberFormat="1" applyFont="1" applyFill="1" applyBorder="1" applyAlignment="1" quotePrefix="0" pivotButton="0">
      <alignment horizontal="center" vertical="center"/>
    </xf>
    <xf fontId="4" fillId="5" borderId="1" numFmtId="172" xfId="0" applyNumberFormat="1" applyFont="1" applyFill="1" applyBorder="1" applyAlignment="1" quotePrefix="0" pivotButton="0">
      <alignment horizontal="center" vertical="center"/>
    </xf>
    <xf fontId="17" fillId="5" borderId="1" numFmtId="0" xfId="0" applyFont="1" applyFill="1" applyBorder="1" applyAlignment="1" quotePrefix="0" pivotButton="0">
      <alignment horizontal="center" vertical="center"/>
    </xf>
    <xf fontId="2" fillId="2" borderId="1" numFmtId="0" xfId="0" applyFont="1" applyFill="1" applyBorder="1" applyAlignment="1" quotePrefix="0" pivotButton="0">
      <alignment horizontal="left" vertical="center"/>
    </xf>
    <xf fontId="19" fillId="5" borderId="1" numFmtId="167" xfId="0" applyNumberFormat="1" applyFont="1" applyFill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horizontal="left" vertical="center" wrapText="1"/>
    </xf>
    <xf fontId="17" fillId="9" borderId="1" numFmtId="173" xfId="0" applyNumberFormat="1" applyFont="1" applyFill="1" applyBorder="1" applyAlignment="1" quotePrefix="0" pivotButton="0">
      <alignment horizontal="center" vertical="center"/>
    </xf>
    <xf fontId="15" fillId="6" borderId="1" numFmtId="0" xfId="0" applyFont="1" applyFill="1" applyBorder="1" applyAlignment="1" quotePrefix="0" pivotButton="0">
      <alignment horizontal="left" vertical="center" wrapText="1"/>
    </xf>
    <xf fontId="17" fillId="10" borderId="1" numFmtId="174" xfId="0" applyNumberFormat="1" applyFont="1" applyFill="1" applyBorder="1" applyAlignment="1" quotePrefix="0" pivotButton="0">
      <alignment horizontal="center" vertical="center"/>
    </xf>
    <xf fontId="16" fillId="3" borderId="1" numFmtId="1" xfId="0" applyNumberFormat="1" applyFont="1" applyFill="1" applyBorder="1" applyAlignment="1" quotePrefix="0" pivotButton="0">
      <alignment horizontal="center" vertical="center"/>
    </xf>
    <xf fontId="17" fillId="9" borderId="1" numFmtId="175" xfId="0" applyNumberFormat="1" applyFont="1" applyFill="1" applyBorder="1" applyAlignment="1" quotePrefix="0" pivotButton="0">
      <alignment horizontal="center" vertical="center"/>
    </xf>
    <xf fontId="4" fillId="9" borderId="1" numFmtId="0" xfId="0" applyFont="1" applyFill="1" applyBorder="1" applyAlignment="1" quotePrefix="0" pivotButton="0">
      <alignment horizontal="center" vertical="center" wrapText="1"/>
    </xf>
    <xf fontId="16" fillId="3" borderId="1" numFmtId="176" xfId="0" applyNumberFormat="1" applyFont="1" applyFill="1" applyBorder="1" applyAlignment="1" quotePrefix="0" pivotButton="0">
      <alignment horizontal="center" vertical="center"/>
    </xf>
    <xf fontId="12" fillId="3" borderId="1" numFmtId="0" xfId="0" applyFont="1" applyFill="1" applyBorder="1" applyAlignment="1" quotePrefix="0" pivotButton="0">
      <alignment horizontal="left" vertical="center" wrapText="1"/>
    </xf>
    <xf fontId="10" fillId="3" borderId="1" numFmtId="0" xfId="0" applyFont="1" applyFill="1" applyBorder="1" applyAlignment="1" quotePrefix="0" pivotButton="0">
      <alignment horizontal="center" vertical="center" wrapText="1"/>
    </xf>
    <xf fontId="16" fillId="3" borderId="1" numFmtId="0" xfId="0" applyFont="1" applyFill="1" applyBorder="1" applyAlignment="1" quotePrefix="0" pivotButton="0">
      <alignment horizontal="left" vertical="center" wrapText="1"/>
    </xf>
    <xf fontId="16" fillId="3" borderId="1" numFmtId="173" xfId="0" applyNumberFormat="1" applyFont="1" applyFill="1" applyBorder="1" applyAlignment="1" quotePrefix="0" pivotButton="0">
      <alignment horizontal="center" vertical="center"/>
    </xf>
    <xf fontId="16" fillId="3" borderId="1" numFmtId="49" xfId="0" applyNumberFormat="1" applyFont="1" applyFill="1" applyBorder="1" applyAlignment="1" quotePrefix="0" pivotButton="0">
      <alignment horizontal="center" vertical="center"/>
    </xf>
    <xf fontId="16" fillId="3" borderId="1" numFmtId="177" xfId="0" applyNumberFormat="1" applyFont="1" applyFill="1" applyBorder="1" applyAlignment="1" quotePrefix="0" pivotButton="0">
      <alignment horizontal="center" vertical="center"/>
    </xf>
    <xf fontId="20" fillId="3" borderId="1" numFmtId="0" xfId="0" applyFont="1" applyFill="1" applyBorder="1" applyAlignment="1" quotePrefix="0" pivotButton="0">
      <alignment horizontal="left" vertical="center" wrapText="1"/>
    </xf>
    <xf fontId="21" fillId="3" borderId="1" numFmtId="0" xfId="0" applyFont="1" applyFill="1" applyBorder="1" applyAlignment="1" quotePrefix="0" pivotButton="0">
      <alignment horizontal="center" vertical="center"/>
    </xf>
    <xf fontId="16" fillId="3" borderId="1" numFmtId="164" xfId="0" applyNumberFormat="1" applyFont="1" applyFill="1" applyBorder="1" applyAlignment="1" quotePrefix="0" pivotButton="0">
      <alignment horizontal="center" vertical="center"/>
    </xf>
    <xf fontId="17" fillId="2" borderId="13" numFmtId="0" xfId="0" applyFont="1" applyFill="1" applyBorder="1" applyAlignment="1" quotePrefix="0" pivotButton="0">
      <alignment horizontal="center" vertical="center" wrapText="1"/>
    </xf>
    <xf fontId="0" fillId="0" borderId="0" numFmtId="0" xfId="0" applyAlignment="1">
      <alignment horizontal="center"/>
    </xf>
    <xf fontId="0" fillId="0" borderId="10" numFmtId="0" xfId="0" applyBorder="1" applyAlignment="1">
      <alignment horizontal="center"/>
    </xf>
    <xf fontId="22" fillId="3" borderId="1" numFmtId="0" xfId="0" applyFont="1" applyFill="1" applyBorder="1" applyAlignment="1" quotePrefix="0" pivotButton="0">
      <alignment horizontal="left" vertical="center" wrapText="1"/>
    </xf>
    <xf fontId="0" fillId="11" borderId="15" numFmtId="0" xfId="0" applyFill="1" applyBorder="1" applyAlignment="1" quotePrefix="0" pivotButton="0">
      <alignment horizontal="center" vertical="center"/>
    </xf>
    <xf fontId="0" fillId="11" borderId="15" numFmtId="0" xfId="0" applyFill="1" applyBorder="1" applyAlignment="1" quotePrefix="0" pivotButton="0">
      <alignment horizontal="center"/>
    </xf>
    <xf fontId="0" fillId="0" borderId="23" numFmtId="0" xfId="0" applyBorder="1" quotePrefix="0" pivotButton="0"/>
    <xf fontId="0" fillId="0" borderId="24" numFmtId="0" xfId="0" applyBorder="1" quotePrefix="0" pivotButton="0"/>
    <xf fontId="0" fillId="11" borderId="15" numFmtId="0" xfId="0" applyFill="1" applyBorder="1" quotePrefix="0" pivotButton="0"/>
    <xf fontId="23" fillId="12" borderId="0" numFmtId="0" xfId="0" applyFont="1" applyFill="1" applyAlignment="1" quotePrefix="0" pivotButton="0">
      <alignment horizontal="left" vertical="center"/>
    </xf>
    <xf fontId="24" fillId="5" borderId="1" numFmtId="164" xfId="0" applyNumberFormat="1" applyFont="1" applyFill="1" applyBorder="1" applyAlignment="1" quotePrefix="0" pivotButton="0">
      <alignment horizontal="center" vertical="center" wrapText="1"/>
    </xf>
    <xf fontId="24" fillId="5" borderId="1" numFmtId="0" xfId="0" applyFont="1" applyFill="1" applyBorder="1" applyAlignment="1" quotePrefix="0" pivotButton="0">
      <alignment horizontal="center" vertical="center" wrapText="1"/>
    </xf>
    <xf fontId="16" fillId="3" borderId="1" numFmtId="0" xfId="0" applyFont="1" applyFill="1" applyBorder="1" applyAlignment="1" quotePrefix="0" pivotButton="0">
      <alignment horizontal="center" vertical="center"/>
    </xf>
    <xf fontId="24" fillId="5" borderId="1" numFmtId="167" xfId="0" applyNumberFormat="1" applyFont="1" applyFill="1" applyBorder="1" applyAlignment="1" quotePrefix="0" pivotButton="0">
      <alignment horizontal="center" vertical="center" wrapText="1"/>
    </xf>
    <xf fontId="24" fillId="4" borderId="1" numFmtId="0" xfId="0" applyFont="1" applyFill="1" applyBorder="1" applyAlignment="1" quotePrefix="0" pivotButton="0">
      <alignment horizontal="center" vertical="center" wrapText="1"/>
    </xf>
    <xf fontId="25" fillId="2" borderId="0" numFmtId="0" xfId="0" applyFont="1" applyFill="1" applyAlignment="1" quotePrefix="0" pivotButton="0">
      <alignment horizontal="center" vertical="center"/>
    </xf>
    <xf fontId="0" fillId="0" borderId="0" numFmtId="14" xfId="0" applyNumberFormat="1" quotePrefix="0" pivotButton="0"/>
    <xf fontId="26" fillId="12" borderId="0" numFmtId="0" xfId="0" applyFont="1" applyFill="1" applyAlignment="1" quotePrefix="0" pivotButton="0">
      <alignment horizontal="left" vertical="center"/>
    </xf>
    <xf fontId="27" fillId="0" borderId="0" numFmtId="0" xfId="0" applyFont="1" applyAlignment="1" quotePrefix="0" pivotButton="0">
      <alignment horizontal="left" vertical="center"/>
    </xf>
    <xf fontId="28" fillId="0" borderId="0" numFmtId="0" xfId="0" applyFont="1" applyAlignment="1" quotePrefix="0" pivotButton="0">
      <alignment horizontal="left" vertical="center"/>
    </xf>
    <xf fontId="29" fillId="0" borderId="0" numFmtId="0" xfId="0" applyFont="1" applyAlignment="1" quotePrefix="0" pivotButton="0">
      <alignment horizontal="left" vertical="center"/>
    </xf>
    <xf fontId="30" fillId="0" borderId="0" numFmtId="0" xfId="0" applyFont="1" applyAlignment="1" quotePrefix="0" pivotButton="0">
      <alignment horizontal="left" vertical="center"/>
    </xf>
    <xf fontId="31" fillId="0" borderId="0" numFmtId="0" xfId="0" applyFont="1" applyAlignment="1" quotePrefix="0" pivotButton="0">
      <alignment horizontal="left" vertical="center"/>
    </xf>
    <xf fontId="32" fillId="0" borderId="0" numFmtId="0" xfId="0" applyFont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177799</xdr:colOff>
      <xdr:row>2</xdr:row>
      <xdr:rowOff>85723</xdr:rowOff>
    </xdr:from>
    <xdr:to>
      <xdr:col>5</xdr:col>
      <xdr:colOff>279399</xdr:colOff>
      <xdr:row>2</xdr:row>
      <xdr:rowOff>295274</xdr:rowOff>
    </xdr:to>
    <xdr:sp macro="jsaProject_aa84ea5b83fd4907a505e784a97ad6c9">
      <xdr:nvSpPr>
        <xdr:cNvPr id="354276803" name=""/>
        <xdr:cNvSpPr/>
      </xdr:nvSpPr>
      <xdr:spPr bwMode="auto">
        <a:xfrm rot="0" flipH="0" flipV="0">
          <a:off x="4171949" y="441324"/>
          <a:ext cx="1066799" cy="209549"/>
        </a:xfrm>
        <a:prstGeom prst="actionButtonBlan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ctr" anchorCtr="0" forceAA="0" upright="0" compatLnSpc="0"/>
        <a:p>
          <a:pPr algn="ctr">
            <a:defRPr/>
          </a:pPr>
          <a:r>
            <a:rPr/>
            <a:t>Log Flight</a:t>
          </a:r>
          <a:endParaRPr sz="1200"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4"/>
    <col customWidth="1" min="2" max="4" width="13"/>
    <col customWidth="1" min="5" max="5" width="7.28125"/>
    <col customWidth="1" min="6" max="6" width="7.8515625"/>
    <col customWidth="1" min="7" max="9" width="13"/>
  </cols>
  <sheetData>
    <row r="1" ht="20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3"/>
    </row>
    <row r="2" ht="16" customHeight="1">
      <c r="A2" s="6"/>
      <c r="B2" s="7"/>
      <c r="C2" s="8" t="s">
        <v>2</v>
      </c>
      <c r="D2" s="3"/>
      <c r="E2" s="9" t="s">
        <v>3</v>
      </c>
      <c r="F2" s="3"/>
      <c r="G2" s="8" t="s">
        <v>4</v>
      </c>
      <c r="H2" s="8" t="s">
        <v>5</v>
      </c>
      <c r="I2" s="8" t="s">
        <v>6</v>
      </c>
    </row>
    <row r="3" ht="16" customHeight="1">
      <c r="A3" s="10"/>
      <c r="B3" s="11"/>
      <c r="C3" s="12" t="s">
        <v>7</v>
      </c>
      <c r="D3" s="12" t="s">
        <v>8</v>
      </c>
      <c r="E3" s="13" t="s">
        <v>9</v>
      </c>
      <c r="F3" s="13" t="s">
        <v>10</v>
      </c>
      <c r="G3" s="14"/>
      <c r="H3" s="14"/>
      <c r="I3" s="14"/>
    </row>
    <row r="4" ht="18" customHeight="1">
      <c r="A4" s="15" t="s">
        <v>11</v>
      </c>
      <c r="B4" s="3"/>
      <c r="C4" s="16"/>
      <c r="D4" s="16"/>
      <c r="E4" s="16"/>
      <c r="F4" s="16"/>
      <c r="G4" s="16"/>
      <c r="H4" s="16"/>
      <c r="I4" s="16"/>
    </row>
    <row r="5" ht="18" customHeight="1">
      <c r="A5" s="15" t="s">
        <v>12</v>
      </c>
      <c r="B5" s="3"/>
      <c r="C5" s="16"/>
      <c r="D5" s="16"/>
      <c r="E5" s="16"/>
      <c r="F5" s="16"/>
      <c r="G5" s="16"/>
      <c r="H5" s="16"/>
      <c r="I5" s="16"/>
    </row>
    <row r="6" ht="18" customHeight="1">
      <c r="A6" s="15" t="s">
        <v>13</v>
      </c>
      <c r="B6" s="3"/>
      <c r="C6" s="16"/>
      <c r="D6" s="16"/>
      <c r="E6" s="16"/>
      <c r="F6" s="16"/>
      <c r="G6" s="16"/>
      <c r="H6" s="16"/>
      <c r="I6" s="16"/>
    </row>
    <row r="7" ht="18" customHeight="1">
      <c r="A7" s="15" t="s">
        <v>14</v>
      </c>
      <c r="B7" s="3"/>
      <c r="C7" s="16"/>
      <c r="D7" s="16"/>
      <c r="E7" s="16"/>
      <c r="F7" s="16"/>
      <c r="G7" s="16"/>
      <c r="H7" s="16"/>
      <c r="I7" s="16"/>
    </row>
    <row r="8" ht="16" customHeight="1"/>
    <row r="9" ht="20" customHeight="1">
      <c r="A9" s="17" t="s">
        <v>15</v>
      </c>
      <c r="B9" s="2"/>
      <c r="C9" s="2"/>
      <c r="D9" s="2"/>
      <c r="E9" s="2"/>
      <c r="F9" s="2"/>
      <c r="G9" s="2"/>
      <c r="H9" s="2"/>
      <c r="I9" s="3"/>
    </row>
    <row r="10" ht="14" customHeight="1">
      <c r="A10" s="8" t="s">
        <v>16</v>
      </c>
      <c r="B10" s="8" t="s">
        <v>17</v>
      </c>
      <c r="C10" s="8" t="s">
        <v>18</v>
      </c>
      <c r="D10" s="8" t="s">
        <v>19</v>
      </c>
      <c r="E10" s="8" t="s">
        <v>20</v>
      </c>
      <c r="F10" s="7"/>
      <c r="G10" s="8" t="s">
        <v>21</v>
      </c>
      <c r="H10" s="3"/>
      <c r="I10" s="8" t="s">
        <v>22</v>
      </c>
    </row>
    <row r="11" ht="13" customHeight="1">
      <c r="A11" s="14"/>
      <c r="B11" s="14"/>
      <c r="C11" s="14"/>
      <c r="D11" s="14"/>
      <c r="E11" s="10"/>
      <c r="F11" s="11"/>
      <c r="G11" s="18" t="s">
        <v>23</v>
      </c>
      <c r="H11" s="18" t="s">
        <v>24</v>
      </c>
      <c r="I11" s="14"/>
    </row>
    <row r="12" ht="16" customHeight="1">
      <c r="A12" s="15" t="s">
        <v>25</v>
      </c>
      <c r="B12" s="16"/>
      <c r="C12" s="16"/>
      <c r="D12" s="16"/>
      <c r="E12" s="16"/>
      <c r="F12" s="7"/>
      <c r="G12" s="19"/>
      <c r="H12" s="20"/>
      <c r="I12" s="16"/>
    </row>
    <row r="13" ht="16" customHeight="1">
      <c r="A13" s="15" t="s">
        <v>26</v>
      </c>
      <c r="B13" s="21"/>
      <c r="C13" s="21"/>
      <c r="D13" s="21"/>
      <c r="E13" s="22"/>
      <c r="F13" s="23"/>
      <c r="G13" s="21"/>
      <c r="H13" s="21"/>
      <c r="I13" s="21"/>
    </row>
    <row r="14" ht="16" customHeight="1">
      <c r="A14" s="15" t="s">
        <v>27</v>
      </c>
      <c r="B14" s="14"/>
      <c r="C14" s="14"/>
      <c r="D14" s="14"/>
      <c r="E14" s="10"/>
      <c r="F14" s="11"/>
      <c r="G14" s="14"/>
      <c r="H14" s="14"/>
      <c r="I14" s="14"/>
    </row>
    <row r="15" ht="16" customHeight="1">
      <c r="A15" s="24" t="s">
        <v>28</v>
      </c>
      <c r="B15" s="2"/>
      <c r="C15" s="2"/>
      <c r="D15" s="2"/>
      <c r="E15" s="2"/>
      <c r="F15" s="2"/>
      <c r="G15" s="2"/>
      <c r="H15" s="2"/>
      <c r="I15" s="3"/>
    </row>
    <row r="16" ht="40" customHeight="1">
      <c r="A16" s="25"/>
      <c r="B16" s="2"/>
      <c r="C16" s="2"/>
      <c r="D16" s="2"/>
      <c r="E16" s="2"/>
      <c r="F16" s="2"/>
      <c r="G16" s="2"/>
      <c r="H16" s="2"/>
      <c r="I16" s="3"/>
    </row>
    <row r="17" ht="16" customHeight="1">
      <c r="A17" s="26" t="s">
        <v>13</v>
      </c>
      <c r="B17" s="27"/>
      <c r="C17" s="7"/>
      <c r="D17" s="8" t="s">
        <v>29</v>
      </c>
      <c r="E17" s="2"/>
      <c r="F17" s="3"/>
      <c r="G17" s="8" t="s">
        <v>30</v>
      </c>
      <c r="H17" s="27"/>
      <c r="I17" s="7"/>
    </row>
    <row r="18" ht="16" customHeight="1">
      <c r="A18" s="10"/>
      <c r="B18" s="28"/>
      <c r="C18" s="11"/>
      <c r="D18" s="12" t="s">
        <v>31</v>
      </c>
      <c r="E18" s="12" t="s">
        <v>32</v>
      </c>
      <c r="F18" s="3"/>
      <c r="G18" s="10"/>
      <c r="H18" s="28"/>
      <c r="I18" s="11"/>
    </row>
    <row r="19" ht="20" customHeight="1">
      <c r="A19" s="16"/>
      <c r="B19" s="2"/>
      <c r="C19" s="3"/>
      <c r="D19" s="16"/>
      <c r="E19" s="16"/>
      <c r="F19" s="3"/>
      <c r="G19" s="29"/>
      <c r="H19" s="2"/>
      <c r="I19" s="3"/>
    </row>
    <row r="20" ht="16" customHeight="1">
      <c r="A20" s="26" t="s">
        <v>33</v>
      </c>
      <c r="B20" s="27"/>
      <c r="C20" s="7"/>
      <c r="D20" s="8" t="s">
        <v>34</v>
      </c>
      <c r="E20" s="2"/>
      <c r="F20" s="3"/>
      <c r="G20" s="8" t="s">
        <v>30</v>
      </c>
      <c r="H20" s="27"/>
      <c r="I20" s="7"/>
    </row>
    <row r="21" ht="16" customHeight="1">
      <c r="A21" s="10"/>
      <c r="B21" s="28"/>
      <c r="C21" s="11"/>
      <c r="D21" s="12" t="s">
        <v>31</v>
      </c>
      <c r="E21" s="12" t="s">
        <v>32</v>
      </c>
      <c r="F21" s="3"/>
      <c r="G21" s="10"/>
      <c r="H21" s="28"/>
      <c r="I21" s="11"/>
    </row>
    <row r="22" ht="20" customHeight="1">
      <c r="A22" s="16"/>
      <c r="B22" s="2"/>
      <c r="C22" s="3"/>
      <c r="D22" s="16"/>
      <c r="E22" s="16"/>
      <c r="F22" s="3"/>
      <c r="G22" s="29"/>
      <c r="H22" s="2"/>
      <c r="I22" s="3"/>
    </row>
    <row r="23" ht="16" customHeight="1">
      <c r="A23" s="24" t="s">
        <v>35</v>
      </c>
      <c r="B23" s="2"/>
      <c r="C23" s="2"/>
      <c r="D23" s="2"/>
      <c r="E23" s="2"/>
      <c r="F23" s="2"/>
      <c r="G23" s="2"/>
      <c r="H23" s="2"/>
      <c r="I23" s="3"/>
    </row>
    <row r="24" ht="50" customHeight="1">
      <c r="A24" s="25"/>
      <c r="B24" s="2"/>
      <c r="C24" s="2"/>
      <c r="D24" s="2"/>
      <c r="E24" s="2"/>
      <c r="F24" s="2"/>
      <c r="G24" s="2"/>
      <c r="H24" s="2"/>
      <c r="I24" s="3"/>
    </row>
    <row r="25" ht="16" customHeight="1"/>
    <row r="26" ht="14"/>
    <row r="27" ht="15">
      <c r="A27" s="30"/>
      <c r="B27" s="2"/>
      <c r="C27" s="2"/>
      <c r="D27" s="2"/>
      <c r="E27" s="2"/>
      <c r="F27" s="2"/>
      <c r="G27" s="2"/>
      <c r="H27" s="2"/>
      <c r="I27" s="3"/>
    </row>
    <row r="28" ht="14" customHeight="1">
      <c r="A28" s="31"/>
    </row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</sheetData>
  <mergeCells count="45">
    <mergeCell ref="A1:F1"/>
    <mergeCell ref="H1:I1"/>
    <mergeCell ref="A2:B3"/>
    <mergeCell ref="C2:D2"/>
    <mergeCell ref="E2:F2"/>
    <mergeCell ref="G2:G3"/>
    <mergeCell ref="H2:H3"/>
    <mergeCell ref="I2:I3"/>
    <mergeCell ref="A4:B4"/>
    <mergeCell ref="A5:B5"/>
    <mergeCell ref="A6:B6"/>
    <mergeCell ref="A7:B7"/>
    <mergeCell ref="A9:I9"/>
    <mergeCell ref="A10:A11"/>
    <mergeCell ref="B10:B11"/>
    <mergeCell ref="C10:C11"/>
    <mergeCell ref="D10:D11"/>
    <mergeCell ref="E10:F11"/>
    <mergeCell ref="G10:H10"/>
    <mergeCell ref="I10:I11"/>
    <mergeCell ref="B12:B14"/>
    <mergeCell ref="C12:C14"/>
    <mergeCell ref="D12:D14"/>
    <mergeCell ref="E12:F14"/>
    <mergeCell ref="G12:G14"/>
    <mergeCell ref="H12:H14"/>
    <mergeCell ref="I12:I14"/>
    <mergeCell ref="A15:I15"/>
    <mergeCell ref="A16:I16"/>
    <mergeCell ref="A17:C18"/>
    <mergeCell ref="D17:F17"/>
    <mergeCell ref="G17:I18"/>
    <mergeCell ref="E18:F18"/>
    <mergeCell ref="A19:C19"/>
    <mergeCell ref="E19:F19"/>
    <mergeCell ref="G19:I19"/>
    <mergeCell ref="A20:C21"/>
    <mergeCell ref="D20:F20"/>
    <mergeCell ref="G20:I21"/>
    <mergeCell ref="E21:F21"/>
    <mergeCell ref="A22:C22"/>
    <mergeCell ref="E22:F22"/>
    <mergeCell ref="G22:I22"/>
    <mergeCell ref="A23:I23"/>
    <mergeCell ref="A24:I24"/>
  </mergeCells>
  <printOptions headings="0" gridLines="0"/>
  <pageMargins left="0.75" right="0.75" top="1" bottom="1" header="0.5" footer="0.5"/>
  <pageSetup paperSize="1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0"/>
    <col customWidth="1" min="2" max="2" width="7"/>
    <col customWidth="1" min="3" max="4" width="6"/>
    <col customWidth="1" min="5" max="5" width="7"/>
    <col customWidth="1" min="6" max="7" width="6"/>
    <col customWidth="1" min="8" max="12" width="5"/>
    <col customWidth="1" min="13" max="15" width="7"/>
    <col customWidth="1" min="16" max="16" width="12.28125"/>
    <col customWidth="1" min="17" max="17" width="13.7109375"/>
    <col customWidth="1" min="18" max="18" width="7"/>
    <col customWidth="1" min="19" max="20" width="10"/>
    <col customWidth="1" min="21" max="21" width="9"/>
    <col customWidth="1" min="22" max="22" width="10"/>
  </cols>
  <sheetData>
    <row r="1" ht="18" customHeight="1">
      <c r="A1" s="32" t="s">
        <v>36</v>
      </c>
      <c r="B1" s="2"/>
      <c r="C1" s="2"/>
      <c r="D1" s="33">
        <f>'Weather &amp; Flight Plan'!B12</f>
        <v>0</v>
      </c>
      <c r="E1" s="2"/>
      <c r="F1" s="2"/>
      <c r="G1" s="2"/>
      <c r="H1" s="2"/>
      <c r="I1" s="2"/>
      <c r="J1" s="2"/>
      <c r="K1" s="3"/>
      <c r="L1" s="32" t="s">
        <v>37</v>
      </c>
      <c r="M1" s="2"/>
      <c r="N1" s="34"/>
      <c r="O1" s="2"/>
      <c r="P1" s="2"/>
      <c r="Q1" s="2"/>
      <c r="R1" s="35" t="s">
        <v>38</v>
      </c>
      <c r="S1" s="3"/>
      <c r="T1" s="36"/>
      <c r="U1" s="37" t="s">
        <v>39</v>
      </c>
    </row>
    <row r="2" ht="18" customHeight="1">
      <c r="A2" s="38" t="s">
        <v>40</v>
      </c>
      <c r="B2" s="39"/>
      <c r="C2" s="2"/>
      <c r="D2" s="2"/>
      <c r="E2" s="2"/>
      <c r="F2" s="2"/>
      <c r="G2" s="2"/>
      <c r="H2" s="2"/>
      <c r="I2" s="2"/>
      <c r="J2" s="2"/>
      <c r="K2" s="3"/>
      <c r="L2" s="32" t="s">
        <v>41</v>
      </c>
      <c r="M2" s="2"/>
      <c r="N2" s="34"/>
      <c r="O2" s="2"/>
      <c r="P2" s="2"/>
      <c r="Q2" s="2"/>
      <c r="R2" s="35" t="s">
        <v>42</v>
      </c>
      <c r="S2" s="3"/>
      <c r="T2" s="36"/>
      <c r="U2" s="37" t="s">
        <v>39</v>
      </c>
    </row>
    <row r="3" ht="30" customHeight="1">
      <c r="A3" s="40" t="s">
        <v>43</v>
      </c>
      <c r="B3" s="3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</row>
    <row r="4" ht="13" customHeight="1">
      <c r="A4" s="41" t="s">
        <v>44</v>
      </c>
      <c r="B4" s="8" t="s">
        <v>45</v>
      </c>
      <c r="C4" s="3"/>
      <c r="D4" s="8" t="s">
        <v>46</v>
      </c>
      <c r="E4" s="8" t="s">
        <v>47</v>
      </c>
      <c r="F4" s="8" t="s">
        <v>48</v>
      </c>
      <c r="G4" s="3"/>
      <c r="H4" s="8" t="s">
        <v>49</v>
      </c>
      <c r="I4" s="12" t="s">
        <v>50</v>
      </c>
      <c r="J4" s="12" t="s">
        <v>51</v>
      </c>
      <c r="K4" s="12" t="s">
        <v>52</v>
      </c>
      <c r="L4" s="8" t="s">
        <v>53</v>
      </c>
      <c r="M4" s="8" t="s">
        <v>54</v>
      </c>
      <c r="N4" s="3"/>
      <c r="O4" s="12" t="s">
        <v>55</v>
      </c>
      <c r="P4" s="8" t="s">
        <v>56</v>
      </c>
      <c r="Q4" s="3"/>
      <c r="R4" s="12" t="s">
        <v>57</v>
      </c>
      <c r="S4" s="8" t="s">
        <v>11</v>
      </c>
      <c r="T4" s="8" t="s">
        <v>58</v>
      </c>
      <c r="U4" s="7"/>
      <c r="V4" s="8" t="s">
        <v>13</v>
      </c>
    </row>
    <row r="5" ht="13" customHeight="1">
      <c r="A5" s="21"/>
      <c r="B5" s="8" t="s">
        <v>59</v>
      </c>
      <c r="C5" s="3"/>
      <c r="D5" s="21"/>
      <c r="E5" s="21"/>
      <c r="F5" s="8" t="s">
        <v>10</v>
      </c>
      <c r="G5" s="8" t="s">
        <v>60</v>
      </c>
      <c r="H5" s="21"/>
      <c r="I5" s="12" t="s">
        <v>61</v>
      </c>
      <c r="J5" s="12" t="s">
        <v>62</v>
      </c>
      <c r="K5" s="12" t="s">
        <v>63</v>
      </c>
      <c r="L5" s="21"/>
      <c r="M5" s="12" t="s">
        <v>64</v>
      </c>
      <c r="N5" s="12" t="s">
        <v>65</v>
      </c>
      <c r="O5" s="42"/>
      <c r="P5" s="12" t="s">
        <v>66</v>
      </c>
      <c r="Q5" s="12" t="s">
        <v>67</v>
      </c>
      <c r="R5" s="42"/>
      <c r="S5" s="21"/>
      <c r="T5" s="22"/>
      <c r="U5" s="23"/>
      <c r="V5" s="21"/>
    </row>
    <row r="6" ht="13" customHeight="1">
      <c r="A6" s="21"/>
      <c r="B6" s="8" t="s">
        <v>68</v>
      </c>
      <c r="C6" s="3"/>
      <c r="D6" s="21"/>
      <c r="E6" s="21"/>
      <c r="F6" s="8" t="s">
        <v>69</v>
      </c>
      <c r="G6" s="3"/>
      <c r="H6" s="21"/>
      <c r="I6" s="12" t="s">
        <v>70</v>
      </c>
      <c r="J6" s="12" t="s">
        <v>71</v>
      </c>
      <c r="K6" s="12" t="s">
        <v>72</v>
      </c>
      <c r="L6" s="21"/>
      <c r="M6" s="18" t="s">
        <v>73</v>
      </c>
      <c r="N6" s="18" t="s">
        <v>73</v>
      </c>
      <c r="O6" s="18" t="s">
        <v>73</v>
      </c>
      <c r="P6" s="18" t="s">
        <v>73</v>
      </c>
      <c r="Q6" s="18" t="s">
        <v>73</v>
      </c>
      <c r="R6" s="18" t="s">
        <v>74</v>
      </c>
      <c r="S6" s="21"/>
      <c r="T6" s="22"/>
      <c r="U6" s="23"/>
      <c r="V6" s="21"/>
    </row>
    <row r="7" ht="13" customHeight="1">
      <c r="A7" s="43">
        <f>IFERROR('Weather &amp; Flight Plan'!E12,"")</f>
        <v>0</v>
      </c>
      <c r="B7" s="44"/>
      <c r="C7" s="3"/>
      <c r="D7" s="14"/>
      <c r="E7" s="14"/>
      <c r="F7" s="44"/>
      <c r="G7" s="3"/>
      <c r="H7" s="14"/>
      <c r="I7" s="42"/>
      <c r="J7" s="42"/>
      <c r="K7" s="42"/>
      <c r="L7" s="14"/>
      <c r="M7" s="18" t="s">
        <v>75</v>
      </c>
      <c r="N7" s="18" t="s">
        <v>75</v>
      </c>
      <c r="O7" s="18" t="s">
        <v>75</v>
      </c>
      <c r="P7" s="18" t="s">
        <v>75</v>
      </c>
      <c r="Q7" s="18" t="s">
        <v>75</v>
      </c>
      <c r="R7" s="18" t="s">
        <v>65</v>
      </c>
      <c r="S7" s="14"/>
      <c r="T7" s="10"/>
      <c r="U7" s="11"/>
      <c r="V7" s="14"/>
    </row>
    <row r="8" ht="14" customHeight="1">
      <c r="A8" s="14"/>
      <c r="B8" s="45"/>
      <c r="C8" s="3"/>
      <c r="D8" s="45"/>
      <c r="E8" s="45"/>
      <c r="F8" s="46">
        <f>'Weather &amp; Flight Plan'!$F$4</f>
        <v>0</v>
      </c>
      <c r="G8" s="46">
        <f>'Weather &amp; Flight Plan'!$E$4</f>
        <v>0</v>
      </c>
      <c r="H8" s="45"/>
      <c r="I8" s="47"/>
      <c r="J8" s="48" t="e">
        <f>D8+I9</f>
        <v>#DIV/0!</v>
      </c>
      <c r="K8" s="48" t="e">
        <f>J8+J9</f>
        <v>#DIV/0!</v>
      </c>
      <c r="L8" s="49" t="e">
        <f>MOD(K8+K9,360)</f>
        <v>#DIV/0!</v>
      </c>
      <c r="M8" s="50">
        <v>0</v>
      </c>
      <c r="N8" s="51"/>
      <c r="O8" s="52" t="e">
        <f>SQRT(H8^2+G8^2-(2*H8*G8*COS(RADIANS(I8-F8+I9))))</f>
        <v>#DIV/0!</v>
      </c>
      <c r="P8" s="53" t="e">
        <f>(M8/O8)*60</f>
        <v>#DIV/0!</v>
      </c>
      <c r="Q8" s="54">
        <f>'Weather &amp; Flight Plan'!$G$12</f>
        <v>0</v>
      </c>
      <c r="R8" s="55" t="e">
        <f>(P8*1440/60)*$T$1</f>
        <v>#DIV/0!</v>
      </c>
      <c r="S8" s="56"/>
      <c r="T8" s="57" t="s">
        <v>76</v>
      </c>
      <c r="U8" s="7"/>
      <c r="V8" s="56"/>
    </row>
    <row r="9" ht="14" customHeight="1">
      <c r="A9" s="45"/>
      <c r="B9" s="45"/>
      <c r="C9" s="3"/>
      <c r="D9" s="14"/>
      <c r="E9" s="14"/>
      <c r="F9" s="45"/>
      <c r="G9" s="3"/>
      <c r="H9" s="14"/>
      <c r="I9" s="52" t="e">
        <f>IF(A7="","",DEGREES(ASIN(($G$8*SIN(RADIANS($F$8-I8)))/H8)))</f>
        <v>#DIV/0!</v>
      </c>
      <c r="J9" s="47"/>
      <c r="K9" s="47"/>
      <c r="L9" s="14"/>
      <c r="M9" s="50"/>
      <c r="N9" s="51"/>
      <c r="O9" s="47"/>
      <c r="P9" s="51"/>
      <c r="Q9" s="54">
        <f>'Weather &amp; Flight Plan'!$H$12</f>
        <v>0</v>
      </c>
      <c r="R9" s="55">
        <f>$T$2</f>
        <v>0</v>
      </c>
      <c r="S9" s="21"/>
      <c r="T9" s="22"/>
      <c r="U9" s="23"/>
      <c r="V9" s="21"/>
    </row>
    <row r="10" ht="14" customHeight="1">
      <c r="A10" s="14"/>
      <c r="B10" s="45"/>
      <c r="C10" s="3"/>
      <c r="D10" s="45"/>
      <c r="E10" s="45"/>
      <c r="F10" s="58"/>
      <c r="G10" s="58"/>
      <c r="H10" s="45"/>
      <c r="I10" s="47"/>
      <c r="J10" s="48" t="str">
        <f>IF(A9="","",D10+I11)</f>
        <v/>
      </c>
      <c r="K10" s="48" t="str">
        <f>IF(A9="","",J10+J11)</f>
        <v/>
      </c>
      <c r="L10" s="49" t="str">
        <f>IF(A9="","",MOD(K10+K11,360))</f>
        <v/>
      </c>
      <c r="M10" s="50"/>
      <c r="N10" s="55" t="str">
        <f>IF(A9="","",N8-M10)</f>
        <v/>
      </c>
      <c r="O10" s="52" t="str">
        <f>IF(A9="","",SQRT(H10^2+G10^2-(2*H10*G10*COS(RADIANS(I10-F10+I11)))))</f>
        <v/>
      </c>
      <c r="P10" s="53" t="str">
        <f>IF(A9="","",(M10/O10)*60)</f>
        <v/>
      </c>
      <c r="Q10" s="54" t="str">
        <f>IF(A9="","",Q8+(P10/1440))</f>
        <v/>
      </c>
      <c r="R10" s="55" t="str">
        <f>IF(A9="","",(P10/60)*$T$1)</f>
        <v/>
      </c>
      <c r="S10" s="21"/>
      <c r="T10" s="22"/>
      <c r="U10" s="23"/>
      <c r="V10" s="21"/>
    </row>
    <row r="11" ht="14" customHeight="1">
      <c r="A11" s="45"/>
      <c r="B11" s="45"/>
      <c r="C11" s="3"/>
      <c r="D11" s="14"/>
      <c r="E11" s="14"/>
      <c r="F11" s="45"/>
      <c r="G11" s="3"/>
      <c r="H11" s="14"/>
      <c r="I11" s="52" t="str">
        <f>IF(A9="","",DEGREES(ASIN(($G$8*SIN(RADIANS($F$8-I10)))/H10)))</f>
        <v/>
      </c>
      <c r="J11" s="47"/>
      <c r="K11" s="47"/>
      <c r="L11" s="14"/>
      <c r="M11" s="50"/>
      <c r="N11" s="51"/>
      <c r="O11" s="47"/>
      <c r="P11" s="51"/>
      <c r="Q11" s="47"/>
      <c r="R11" s="55" t="str">
        <f>IF(A9="","",R9-R10)</f>
        <v/>
      </c>
      <c r="S11" s="14"/>
      <c r="T11" s="10"/>
      <c r="U11" s="11"/>
      <c r="V11" s="14"/>
    </row>
    <row r="12" ht="14" customHeight="1">
      <c r="A12" s="14"/>
      <c r="B12" s="45"/>
      <c r="C12" s="3"/>
      <c r="D12" s="45"/>
      <c r="E12" s="45"/>
      <c r="F12" s="58"/>
      <c r="G12" s="58"/>
      <c r="H12" s="45"/>
      <c r="I12" s="47"/>
      <c r="J12" s="48" t="str">
        <f>IF(A11="","",D12+I13)</f>
        <v/>
      </c>
      <c r="K12" s="48" t="str">
        <f>IF(A11="","",J12+J13)</f>
        <v/>
      </c>
      <c r="L12" s="49" t="str">
        <f>IF(A11="","",MOD(K12+K13,360))</f>
        <v/>
      </c>
      <c r="M12" s="50"/>
      <c r="N12" s="55" t="str">
        <f>IF(A11="","",N10-M12)</f>
        <v/>
      </c>
      <c r="O12" s="52" t="str">
        <f>IF(A11="","",SQRT(H12^2+G12^2-(2*H12*G12*COS(RADIANS(I12-F12+I13)))))</f>
        <v/>
      </c>
      <c r="P12" s="53" t="str">
        <f>IF(A11="","",(M12/O12)*60)</f>
        <v/>
      </c>
      <c r="Q12" s="54" t="str">
        <f>IF(A11="","",Q10+(P12/1440))</f>
        <v/>
      </c>
      <c r="R12" s="55" t="str">
        <f>IF(A11="","",(P12/60)*$T$1)</f>
        <v/>
      </c>
      <c r="S12" s="43">
        <f>'Weather &amp; Flight Plan'!$C$4</f>
        <v>0</v>
      </c>
      <c r="T12" s="57" t="s">
        <v>77</v>
      </c>
      <c r="U12" s="7"/>
      <c r="V12" s="43">
        <f>'Weather &amp; Flight Plan'!$C$6</f>
        <v>0</v>
      </c>
    </row>
    <row r="13" ht="14" customHeight="1">
      <c r="A13" s="56"/>
      <c r="B13" s="45"/>
      <c r="C13" s="3"/>
      <c r="D13" s="14"/>
      <c r="E13" s="14"/>
      <c r="F13" s="45"/>
      <c r="G13" s="3"/>
      <c r="H13" s="14"/>
      <c r="I13" s="52" t="str">
        <f>IF(A11="","",DEGREES(ASIN(($G$8*SIN(RADIANS($F$8-I12)))/H12)))</f>
        <v/>
      </c>
      <c r="J13" s="47"/>
      <c r="K13" s="47"/>
      <c r="L13" s="14"/>
      <c r="M13" s="50"/>
      <c r="N13" s="51"/>
      <c r="O13" s="47"/>
      <c r="P13" s="51"/>
      <c r="Q13" s="47"/>
      <c r="R13" s="55" t="str">
        <f>IF(A11="","",R11-R12)</f>
        <v/>
      </c>
      <c r="S13" s="21"/>
      <c r="T13" s="22"/>
      <c r="U13" s="23"/>
      <c r="V13" s="21"/>
    </row>
    <row r="14" ht="14" customHeight="1">
      <c r="A14" s="14"/>
      <c r="B14" s="45"/>
      <c r="C14" s="3"/>
      <c r="D14" s="45"/>
      <c r="E14" s="45"/>
      <c r="F14" s="58"/>
      <c r="G14" s="58"/>
      <c r="H14" s="45"/>
      <c r="I14" s="47"/>
      <c r="J14" s="48" t="str">
        <f>IF(A13="","",D14+I15)</f>
        <v/>
      </c>
      <c r="K14" s="48" t="str">
        <f>IF(A13="","",J14+J15)</f>
        <v/>
      </c>
      <c r="L14" s="49" t="str">
        <f>IF(A13="","",MOD(K14+K15,360))</f>
        <v/>
      </c>
      <c r="M14" s="50"/>
      <c r="N14" s="55" t="str">
        <f>IF(A13="","",N12-M14)</f>
        <v/>
      </c>
      <c r="O14" s="52" t="str">
        <f>IF(A13="","",SQRT(H14^2+G14^2-(2*H14*G14*COS(RADIANS(I14-F14+I15)))))</f>
        <v/>
      </c>
      <c r="P14" s="53" t="str">
        <f>IF(A13="","",(M14/O14)*60)</f>
        <v/>
      </c>
      <c r="Q14" s="54" t="str">
        <f>IF(A13="","",Q12+(P14/1440))</f>
        <v/>
      </c>
      <c r="R14" s="55" t="str">
        <f>IF(A13="","",(P14/60)*$T$1)</f>
        <v/>
      </c>
      <c r="S14" s="21"/>
      <c r="T14" s="22"/>
      <c r="U14" s="23"/>
      <c r="V14" s="21"/>
    </row>
    <row r="15" ht="14" customHeight="1">
      <c r="A15" s="56"/>
      <c r="B15" s="45"/>
      <c r="C15" s="3"/>
      <c r="D15" s="14"/>
      <c r="E15" s="14"/>
      <c r="F15" s="45"/>
      <c r="G15" s="3"/>
      <c r="H15" s="14"/>
      <c r="I15" s="52" t="str">
        <f>IF(A13="","",DEGREES(ASIN(($G$8*SIN(RADIANS($F$8-I14)))/H14)))</f>
        <v/>
      </c>
      <c r="J15" s="47"/>
      <c r="K15" s="47"/>
      <c r="L15" s="14"/>
      <c r="M15" s="50"/>
      <c r="N15" s="51"/>
      <c r="O15" s="47"/>
      <c r="P15" s="51"/>
      <c r="Q15" s="47"/>
      <c r="R15" s="55" t="str">
        <f>IF(A13="","",R13-R14)</f>
        <v/>
      </c>
      <c r="S15" s="14"/>
      <c r="T15" s="10"/>
      <c r="U15" s="11"/>
      <c r="V15" s="14"/>
    </row>
    <row r="16" ht="14" customHeight="1">
      <c r="A16" s="14"/>
      <c r="B16" s="45"/>
      <c r="C16" s="3"/>
      <c r="D16" s="45"/>
      <c r="E16" s="45"/>
      <c r="F16" s="58"/>
      <c r="G16" s="58"/>
      <c r="H16" s="45"/>
      <c r="I16" s="47"/>
      <c r="J16" s="48" t="str">
        <f>IF(A15="","",D16+I17)</f>
        <v/>
      </c>
      <c r="K16" s="48" t="str">
        <f>IF(A15="","",J16+J17)</f>
        <v/>
      </c>
      <c r="L16" s="49" t="str">
        <f>IF(A15="","",MOD(K16+K17,360))</f>
        <v/>
      </c>
      <c r="M16" s="50"/>
      <c r="N16" s="55" t="str">
        <f>IF(A15="","",N14-M16)</f>
        <v/>
      </c>
      <c r="O16" s="52" t="str">
        <f>IF(A15="","",SQRT(H16^2+G16^2-(2*H16*G16*COS(RADIANS(I16-F16+I17)))))</f>
        <v/>
      </c>
      <c r="P16" s="53" t="str">
        <f>IF(A15="","",(M16/O16)*60)</f>
        <v/>
      </c>
      <c r="Q16" s="54" t="str">
        <f>IF(A15="","",Q14+(P16/1440))</f>
        <v/>
      </c>
      <c r="R16" s="55" t="str">
        <f>IF(A15="","",(P16/60)*$T$1)</f>
        <v/>
      </c>
      <c r="S16" s="43">
        <f>'Weather &amp; Flight Plan'!$F$4</f>
        <v>0</v>
      </c>
      <c r="T16" s="57" t="s">
        <v>48</v>
      </c>
      <c r="U16" s="7"/>
      <c r="V16" s="43">
        <f>'Weather &amp; Flight Plan'!$F$6</f>
        <v>0</v>
      </c>
    </row>
    <row r="17" ht="14" customHeight="1">
      <c r="A17" s="56"/>
      <c r="B17" s="45"/>
      <c r="C17" s="3"/>
      <c r="D17" s="14"/>
      <c r="E17" s="14"/>
      <c r="F17" s="45"/>
      <c r="G17" s="3"/>
      <c r="H17" s="14"/>
      <c r="I17" s="52" t="str">
        <f>IF(A15="","",DEGREES(ASIN(($G$8*SIN(RADIANS($F$8-I16)))/H16)))</f>
        <v/>
      </c>
      <c r="J17" s="47"/>
      <c r="K17" s="47"/>
      <c r="L17" s="14"/>
      <c r="M17" s="50"/>
      <c r="N17" s="51"/>
      <c r="O17" s="47"/>
      <c r="P17" s="51"/>
      <c r="Q17" s="47"/>
      <c r="R17" s="55" t="str">
        <f>IF(A15="","",R15-R16)</f>
        <v/>
      </c>
      <c r="S17" s="21"/>
      <c r="T17" s="22"/>
      <c r="U17" s="23"/>
      <c r="V17" s="21"/>
    </row>
    <row r="18" ht="14" customHeight="1">
      <c r="A18" s="14"/>
      <c r="B18" s="45"/>
      <c r="C18" s="3"/>
      <c r="D18" s="45"/>
      <c r="E18" s="45"/>
      <c r="F18" s="58"/>
      <c r="G18" s="58"/>
      <c r="H18" s="45"/>
      <c r="I18" s="47"/>
      <c r="J18" s="48" t="str">
        <f>IF(A17="","",D18+I19)</f>
        <v/>
      </c>
      <c r="K18" s="48" t="str">
        <f>IF(A17="","",J18+J19)</f>
        <v/>
      </c>
      <c r="L18" s="49" t="str">
        <f>IF(A17="","",MOD(K18+K19,360))</f>
        <v/>
      </c>
      <c r="M18" s="50"/>
      <c r="N18" s="55" t="str">
        <f>IF(A17="","",N16-M18)</f>
        <v/>
      </c>
      <c r="O18" s="52" t="str">
        <f>IF(A17="","",SQRT(H18^2+G18^2-(2*H18*G18*COS(RADIANS(I18-F18+I19)))))</f>
        <v/>
      </c>
      <c r="P18" s="53" t="str">
        <f>IF(A17="","",(M18/O18)*60)</f>
        <v/>
      </c>
      <c r="Q18" s="54" t="str">
        <f>IF(A17="","",Q16+(P18/1440))</f>
        <v/>
      </c>
      <c r="R18" s="55" t="str">
        <f>IF(A17="","",(P18/60)*$T$1)</f>
        <v/>
      </c>
      <c r="S18" s="21"/>
      <c r="T18" s="22"/>
      <c r="U18" s="23"/>
      <c r="V18" s="21"/>
    </row>
    <row r="19" ht="14" customHeight="1">
      <c r="A19" s="56"/>
      <c r="B19" s="45"/>
      <c r="C19" s="3"/>
      <c r="D19" s="14"/>
      <c r="E19" s="14"/>
      <c r="F19" s="45"/>
      <c r="G19" s="3"/>
      <c r="H19" s="14"/>
      <c r="I19" s="52" t="str">
        <f>IF(A17="","",DEGREES(ASIN(($G$8*SIN(RADIANS($F$8-I18)))/H18)))</f>
        <v/>
      </c>
      <c r="J19" s="47"/>
      <c r="K19" s="47"/>
      <c r="L19" s="14"/>
      <c r="M19" s="50"/>
      <c r="N19" s="51"/>
      <c r="O19" s="47"/>
      <c r="P19" s="51"/>
      <c r="Q19" s="47"/>
      <c r="R19" s="55" t="str">
        <f>IF(A17="","",R17-R18)</f>
        <v/>
      </c>
      <c r="S19" s="14"/>
      <c r="T19" s="10"/>
      <c r="U19" s="11"/>
      <c r="V19" s="14"/>
    </row>
    <row r="20" ht="14" customHeight="1">
      <c r="A20" s="14"/>
      <c r="B20" s="45"/>
      <c r="C20" s="3"/>
      <c r="D20" s="45"/>
      <c r="E20" s="45"/>
      <c r="F20" s="58"/>
      <c r="G20" s="58"/>
      <c r="H20" s="45"/>
      <c r="I20" s="47"/>
      <c r="J20" s="48" t="str">
        <f>IF(A19="","",D20+I21)</f>
        <v/>
      </c>
      <c r="K20" s="48" t="str">
        <f>IF(A19="","",J20+J21)</f>
        <v/>
      </c>
      <c r="L20" s="49" t="str">
        <f>IF(A19="","",MOD(K20+K21,360))</f>
        <v/>
      </c>
      <c r="M20" s="50"/>
      <c r="N20" s="55" t="str">
        <f>IF(A19="","",N18-M20)</f>
        <v/>
      </c>
      <c r="O20" s="52" t="str">
        <f>IF(A19="","",SQRT(H20^2+G20^2-(2*H20*G20*COS(RADIANS(I20-F20+I21)))))</f>
        <v/>
      </c>
      <c r="P20" s="53" t="str">
        <f>IF(A19="","",(M20/O20)*60)</f>
        <v/>
      </c>
      <c r="Q20" s="54" t="str">
        <f>IF(A19="","",Q18+(P20/1440))</f>
        <v/>
      </c>
      <c r="R20" s="55" t="str">
        <f>IF(A19="","",(P20/60)*$T$1)</f>
        <v/>
      </c>
      <c r="S20" s="56"/>
      <c r="T20" s="57" t="s">
        <v>78</v>
      </c>
      <c r="U20" s="7"/>
      <c r="V20" s="56"/>
    </row>
    <row r="21" ht="14" customHeight="1">
      <c r="A21" s="56"/>
      <c r="B21" s="45"/>
      <c r="C21" s="3"/>
      <c r="D21" s="14"/>
      <c r="E21" s="14"/>
      <c r="F21" s="45"/>
      <c r="G21" s="3"/>
      <c r="H21" s="14"/>
      <c r="I21" s="52" t="str">
        <f>IF(A19="","",DEGREES(ASIN(($G$8*SIN(RADIANS($F$8-I20)))/H20)))</f>
        <v/>
      </c>
      <c r="J21" s="47"/>
      <c r="K21" s="47"/>
      <c r="L21" s="14"/>
      <c r="M21" s="50"/>
      <c r="N21" s="51"/>
      <c r="O21" s="47"/>
      <c r="P21" s="51"/>
      <c r="Q21" s="47"/>
      <c r="R21" s="55" t="str">
        <f>IF(A19="","",R19-R20)</f>
        <v/>
      </c>
      <c r="S21" s="21"/>
      <c r="T21" s="22"/>
      <c r="U21" s="23"/>
      <c r="V21" s="21"/>
    </row>
    <row r="22" ht="14" customHeight="1">
      <c r="A22" s="14"/>
      <c r="B22" s="45"/>
      <c r="C22" s="3"/>
      <c r="D22" s="45"/>
      <c r="E22" s="45"/>
      <c r="F22" s="58"/>
      <c r="G22" s="58"/>
      <c r="H22" s="45"/>
      <c r="I22" s="47"/>
      <c r="J22" s="48" t="str">
        <f>IF(A21="","",D22+I23)</f>
        <v/>
      </c>
      <c r="K22" s="48" t="str">
        <f>IF(A21="","",J22+J23)</f>
        <v/>
      </c>
      <c r="L22" s="49" t="str">
        <f>IF(A21="","",MOD(K22+K23,360))</f>
        <v/>
      </c>
      <c r="M22" s="50"/>
      <c r="N22" s="55" t="str">
        <f>IF(A21="","",N20-M22)</f>
        <v/>
      </c>
      <c r="O22" s="52" t="str">
        <f>IF(A21="","",SQRT(H22^2+G22^2-(2*H22*G22*COS(RADIANS(I22-F22+I23)))))</f>
        <v/>
      </c>
      <c r="P22" s="53" t="str">
        <f>IF(A21="","",(M22/O22)*60)</f>
        <v/>
      </c>
      <c r="Q22" s="54" t="str">
        <f>IF(A21="","",Q20+(P22/1440))</f>
        <v/>
      </c>
      <c r="R22" s="55" t="str">
        <f>IF(A21="","",(P22/60)*$T$1)</f>
        <v/>
      </c>
      <c r="S22" s="21"/>
      <c r="T22" s="22"/>
      <c r="U22" s="23"/>
      <c r="V22" s="21"/>
    </row>
    <row r="23" ht="14" customHeight="1">
      <c r="A23" s="56"/>
      <c r="B23" s="45"/>
      <c r="C23" s="3"/>
      <c r="D23" s="14"/>
      <c r="E23" s="14"/>
      <c r="F23" s="45"/>
      <c r="G23" s="3"/>
      <c r="H23" s="14"/>
      <c r="I23" s="52" t="str">
        <f>IF(A21="","",DEGREES(ASIN(($G$8*SIN(RADIANS($F$8-I22)))/H22)))</f>
        <v/>
      </c>
      <c r="J23" s="47"/>
      <c r="K23" s="47"/>
      <c r="L23" s="14"/>
      <c r="M23" s="50"/>
      <c r="N23" s="51"/>
      <c r="O23" s="47"/>
      <c r="P23" s="51"/>
      <c r="Q23" s="47"/>
      <c r="R23" s="55" t="str">
        <f>IF(A21="","",R21-R22)</f>
        <v/>
      </c>
      <c r="S23" s="14"/>
      <c r="T23" s="10"/>
      <c r="U23" s="11"/>
      <c r="V23" s="14"/>
    </row>
    <row r="24" ht="14" customHeight="1">
      <c r="A24" s="14"/>
      <c r="B24" s="45"/>
      <c r="C24" s="3"/>
      <c r="D24" s="45"/>
      <c r="E24" s="45"/>
      <c r="F24" s="58"/>
      <c r="G24" s="58"/>
      <c r="H24" s="45"/>
      <c r="I24" s="47"/>
      <c r="J24" s="48" t="str">
        <f>IF(A23="","",D24+I25)</f>
        <v/>
      </c>
      <c r="K24" s="48" t="str">
        <f>IF(A23="","",J24+J25)</f>
        <v/>
      </c>
      <c r="L24" s="49" t="str">
        <f>IF(A23="","",MOD(K24+K25,360))</f>
        <v/>
      </c>
      <c r="M24" s="50"/>
      <c r="N24" s="55" t="str">
        <f>IF(A23="","",N22-M24)</f>
        <v/>
      </c>
      <c r="O24" s="52" t="str">
        <f>IF(A23="","",SQRT(H24^2+G24^2-(2*H24*G24*COS(RADIANS(I24-F24+I25)))))</f>
        <v/>
      </c>
      <c r="P24" s="53" t="str">
        <f>IF(A23="","",(M24/O24)*60)</f>
        <v/>
      </c>
      <c r="Q24" s="54" t="str">
        <f>IF(A23="","",Q22+(P24/1440))</f>
        <v/>
      </c>
      <c r="R24" s="55" t="str">
        <f>IF(A23="","",(P24/60)*$T$1)</f>
        <v/>
      </c>
      <c r="S24" s="56"/>
      <c r="T24" s="59" t="s">
        <v>79</v>
      </c>
      <c r="U24" s="7"/>
      <c r="V24" s="60"/>
    </row>
    <row r="25" ht="14" customHeight="1">
      <c r="A25" s="56"/>
      <c r="B25" s="45"/>
      <c r="C25" s="3"/>
      <c r="D25" s="14"/>
      <c r="E25" s="14"/>
      <c r="F25" s="45"/>
      <c r="G25" s="3"/>
      <c r="H25" s="14"/>
      <c r="I25" s="52" t="str">
        <f>IF(A23="","",DEGREES(ASIN(($G$8*SIN(RADIANS($F$8-I24)))/H24)))</f>
        <v/>
      </c>
      <c r="J25" s="47"/>
      <c r="K25" s="47"/>
      <c r="L25" s="14"/>
      <c r="M25" s="50"/>
      <c r="N25" s="51"/>
      <c r="O25" s="47"/>
      <c r="P25" s="51"/>
      <c r="Q25" s="47"/>
      <c r="R25" s="55" t="str">
        <f>IF(A23="","",R23-R24)</f>
        <v/>
      </c>
      <c r="S25" s="21"/>
      <c r="T25" s="22"/>
      <c r="U25" s="23"/>
      <c r="V25" s="21"/>
    </row>
    <row r="26" ht="14" customHeight="1">
      <c r="A26" s="14"/>
      <c r="B26" s="45"/>
      <c r="C26" s="3"/>
      <c r="D26" s="45"/>
      <c r="E26" s="45"/>
      <c r="F26" s="58"/>
      <c r="G26" s="58"/>
      <c r="H26" s="45"/>
      <c r="I26" s="47"/>
      <c r="J26" s="48" t="str">
        <f>IF(A25="","",D26+I27)</f>
        <v/>
      </c>
      <c r="K26" s="48" t="str">
        <f>IF(A25="","",J26+J27)</f>
        <v/>
      </c>
      <c r="L26" s="49" t="str">
        <f>IF(A25="","",MOD(K26+K27,360))</f>
        <v/>
      </c>
      <c r="M26" s="50"/>
      <c r="N26" s="55" t="str">
        <f>IF(A25="","",N24-M26)</f>
        <v/>
      </c>
      <c r="O26" s="52" t="str">
        <f>IF(A25="","",SQRT(H26^2+G26^2-(2*H26*G26*COS(RADIANS(I26-F26+I27)))))</f>
        <v/>
      </c>
      <c r="P26" s="53" t="str">
        <f>IF(A25="","",(M26/O26)*60)</f>
        <v/>
      </c>
      <c r="Q26" s="54" t="str">
        <f>IF(A25="","",Q24+(P26/1440))</f>
        <v/>
      </c>
      <c r="R26" s="55" t="str">
        <f>IF(A25="","",(P26/60)*$T$1)</f>
        <v/>
      </c>
      <c r="S26" s="21"/>
      <c r="T26" s="22"/>
      <c r="U26" s="23"/>
      <c r="V26" s="21"/>
    </row>
    <row r="27" ht="14" customHeight="1">
      <c r="A27" s="56"/>
      <c r="B27" s="45"/>
      <c r="C27" s="3"/>
      <c r="D27" s="14"/>
      <c r="E27" s="14"/>
      <c r="F27" s="45"/>
      <c r="G27" s="3"/>
      <c r="H27" s="14"/>
      <c r="I27" s="52" t="str">
        <f>IF(A25="","",DEGREES(ASIN(($G$8*SIN(RADIANS($F$8-I26)))/H26)))</f>
        <v/>
      </c>
      <c r="J27" s="47"/>
      <c r="K27" s="47"/>
      <c r="L27" s="14"/>
      <c r="M27" s="50"/>
      <c r="N27" s="51"/>
      <c r="O27" s="47"/>
      <c r="P27" s="51"/>
      <c r="Q27" s="47"/>
      <c r="R27" s="55" t="str">
        <f>IF(A25="","",R25-R26)</f>
        <v/>
      </c>
      <c r="S27" s="14"/>
      <c r="T27" s="22"/>
      <c r="U27" s="23"/>
      <c r="V27" s="21"/>
    </row>
    <row r="28" ht="13" customHeight="1">
      <c r="A28" s="14"/>
      <c r="B28" s="45"/>
      <c r="C28" s="3"/>
      <c r="D28" s="45"/>
      <c r="E28" s="45"/>
      <c r="F28" s="58"/>
      <c r="G28" s="58"/>
      <c r="H28" s="45"/>
      <c r="I28" s="47"/>
      <c r="J28" s="48" t="str">
        <f>IF(A27="","",D28+I29)</f>
        <v/>
      </c>
      <c r="K28" s="48" t="str">
        <f>IF(A27="","",J28+J29)</f>
        <v/>
      </c>
      <c r="L28" s="49" t="str">
        <f>IF(A27="","",MOD(K28+K29,360))</f>
        <v/>
      </c>
      <c r="M28" s="50"/>
      <c r="N28" s="55" t="str">
        <f>IF(A27="","",N26-M28)</f>
        <v/>
      </c>
      <c r="O28" s="52" t="str">
        <f>IF(A27="","",SQRT(H28^2+G28^2-(2*H28*G28*COS(RADIANS(I28-F28+I29)))))</f>
        <v/>
      </c>
      <c r="P28" s="53" t="str">
        <f>IF(A27="","",(M28/O28)*60)</f>
        <v/>
      </c>
      <c r="Q28" s="54" t="str">
        <f>IF(A27="","",Q26+(P28/1440))</f>
        <v/>
      </c>
      <c r="R28" s="55" t="str">
        <f>IF(A27="","",(P28/60)*$T$1)</f>
        <v/>
      </c>
      <c r="S28" s="61"/>
      <c r="T28" s="62" t="s">
        <v>80</v>
      </c>
      <c r="U28" s="63"/>
      <c r="V28" s="64"/>
    </row>
    <row r="29" ht="13" customHeight="1">
      <c r="A29" s="56"/>
      <c r="B29" s="45"/>
      <c r="C29" s="3"/>
      <c r="D29" s="14"/>
      <c r="E29" s="14"/>
      <c r="F29" s="45"/>
      <c r="G29" s="3"/>
      <c r="H29" s="14"/>
      <c r="I29" s="52" t="str">
        <f>IF(A27="","",DEGREES(ASIN(($G$8*SIN(RADIANS($F$8-I28)))/H28)))</f>
        <v/>
      </c>
      <c r="J29" s="47"/>
      <c r="K29" s="47"/>
      <c r="L29" s="14"/>
      <c r="M29" s="50"/>
      <c r="N29" s="51"/>
      <c r="O29" s="47"/>
      <c r="P29" s="51"/>
      <c r="Q29" s="47"/>
      <c r="R29" s="55" t="str">
        <f>IF(A27="","",R27-R28)</f>
        <v/>
      </c>
      <c r="T29" s="65"/>
      <c r="U29" s="66"/>
      <c r="V29" s="67"/>
    </row>
    <row r="30" ht="14" customHeight="1">
      <c r="A30" s="14"/>
      <c r="B30" s="45"/>
      <c r="C30" s="3"/>
      <c r="D30" s="45"/>
      <c r="E30" s="45"/>
      <c r="F30" s="58"/>
      <c r="G30" s="58"/>
      <c r="H30" s="45"/>
      <c r="I30" s="47"/>
      <c r="J30" s="48" t="str">
        <f>IF(A29="","",D30+I31)</f>
        <v/>
      </c>
      <c r="K30" s="48" t="str">
        <f>IF(A29="","",J30+J31)</f>
        <v/>
      </c>
      <c r="L30" s="49" t="str">
        <f>IF(A29="","",MOD(K30+K31,360))</f>
        <v/>
      </c>
      <c r="M30" s="50"/>
      <c r="N30" s="55" t="str">
        <f>IF(A29="","",N28-M30)</f>
        <v/>
      </c>
      <c r="O30" s="52" t="str">
        <f>IF(A29="","",SQRT(H30^2+G30^2-(2*H30*G30*COS(RADIANS(I30-F30+I31)))))</f>
        <v/>
      </c>
      <c r="P30" s="53" t="str">
        <f>IF(A29="","",(M30/O30)*60)</f>
        <v/>
      </c>
      <c r="Q30" s="54" t="str">
        <f>IF(A29="","",Q28+(P30/1440))</f>
        <v/>
      </c>
      <c r="R30" s="55" t="str">
        <f>IF(A29="","",(P30/60)*$T$1)</f>
        <v/>
      </c>
      <c r="T30" s="65"/>
      <c r="U30" s="66"/>
      <c r="V30" s="67"/>
    </row>
    <row r="31" ht="13" customHeight="1">
      <c r="A31" s="56"/>
      <c r="B31" s="45"/>
      <c r="C31" s="3"/>
      <c r="D31" s="14"/>
      <c r="E31" s="14"/>
      <c r="F31" s="45"/>
      <c r="G31" s="3"/>
      <c r="H31" s="14"/>
      <c r="I31" s="52" t="str">
        <f>IF(A29="","",DEGREES(ASIN(($G$8*SIN(RADIANS($F$8-I30)))/H30)))</f>
        <v/>
      </c>
      <c r="J31" s="47"/>
      <c r="K31" s="47"/>
      <c r="L31" s="14"/>
      <c r="M31" s="50"/>
      <c r="N31" s="51"/>
      <c r="O31" s="47"/>
      <c r="P31" s="51"/>
      <c r="Q31" s="47"/>
      <c r="R31" s="55" t="str">
        <f>IF(A29="","",R29-R30)</f>
        <v/>
      </c>
      <c r="T31" s="68"/>
      <c r="U31" s="69"/>
      <c r="V31" s="70"/>
    </row>
    <row r="32" ht="13" customHeight="1">
      <c r="A32" s="14"/>
      <c r="B32" s="45"/>
      <c r="C32" s="3"/>
      <c r="D32" s="45"/>
      <c r="E32" s="45"/>
      <c r="F32" s="58"/>
      <c r="G32" s="58"/>
      <c r="H32" s="45"/>
      <c r="I32" s="47"/>
      <c r="J32" s="48" t="str">
        <f>IF(A31="","",D32+I33)</f>
        <v/>
      </c>
      <c r="K32" s="48" t="str">
        <f>IF(A31="","",J32+J33)</f>
        <v/>
      </c>
      <c r="L32" s="49" t="str">
        <f>IF(A31="","",MOD(K32+K33,360))</f>
        <v/>
      </c>
      <c r="M32" s="50"/>
      <c r="N32" s="55" t="str">
        <f>IF(A31="","",N30-M32)</f>
        <v/>
      </c>
      <c r="O32" s="52" t="str">
        <f>IF(A31="","",SQRT(H32^2+G32^2-(2*H32*G32*COS(RADIANS(I32-F32+I33)))))</f>
        <v/>
      </c>
      <c r="P32" s="53" t="str">
        <f>IF(A31="","",(M32/O32)*60)</f>
        <v/>
      </c>
      <c r="Q32" s="54" t="str">
        <f>IF(A31="","",Q30+(P32/1440))</f>
        <v/>
      </c>
      <c r="R32" s="55" t="str">
        <f>IF(A31="","",(P32/60)*$T$1)</f>
        <v/>
      </c>
      <c r="S32" s="26" t="s">
        <v>81</v>
      </c>
      <c r="T32" s="2"/>
      <c r="U32" s="2"/>
      <c r="V32" s="3"/>
    </row>
    <row r="33" ht="13" customHeight="1">
      <c r="A33" s="56"/>
      <c r="B33" s="45"/>
      <c r="C33" s="3"/>
      <c r="D33" s="14"/>
      <c r="E33" s="14"/>
      <c r="F33" s="45"/>
      <c r="G33" s="3"/>
      <c r="H33" s="14"/>
      <c r="I33" s="52" t="str">
        <f>IF(A31="","",DEGREES(ASIN(($G$8*SIN(RADIANS($F$8-I32)))/H32)))</f>
        <v/>
      </c>
      <c r="J33" s="47"/>
      <c r="K33" s="47"/>
      <c r="L33" s="14"/>
      <c r="M33" s="50"/>
      <c r="N33" s="51"/>
      <c r="O33" s="47"/>
      <c r="P33" s="51"/>
      <c r="Q33" s="47"/>
      <c r="R33" s="55" t="str">
        <f>IF(A31="","",R31-R32)</f>
        <v/>
      </c>
      <c r="S33" s="8" t="s">
        <v>11</v>
      </c>
      <c r="T33" s="3"/>
      <c r="U33" s="8" t="s">
        <v>13</v>
      </c>
      <c r="V33" s="3"/>
    </row>
    <row r="34" ht="13" customHeight="1">
      <c r="A34" s="14"/>
      <c r="B34" s="45"/>
      <c r="C34" s="3"/>
      <c r="D34" s="45"/>
      <c r="E34" s="45"/>
      <c r="F34" s="58"/>
      <c r="G34" s="58"/>
      <c r="H34" s="45"/>
      <c r="I34" s="47"/>
      <c r="J34" s="48" t="str">
        <f>IF(A33="","",D34+I35)</f>
        <v/>
      </c>
      <c r="K34" s="48" t="str">
        <f>IF(A33="","",J34+J35)</f>
        <v/>
      </c>
      <c r="L34" s="49" t="str">
        <f>IF(A33="","",MOD(K34+K35,360))</f>
        <v/>
      </c>
      <c r="M34" s="50"/>
      <c r="N34" s="55" t="str">
        <f>IF(A33="","",N32-M34)</f>
        <v/>
      </c>
      <c r="O34" s="52" t="str">
        <f>IF(A33="","",SQRT(H34^2+G34^2-(2*H34*G34*COS(RADIANS(I34-F34+I35)))))</f>
        <v/>
      </c>
      <c r="P34" s="53" t="str">
        <f>IF(A33="","",(M34/O34)*60)</f>
        <v/>
      </c>
      <c r="Q34" s="54" t="str">
        <f>IF(A33="","",Q32+(P34/1440))</f>
        <v/>
      </c>
      <c r="R34" s="55" t="str">
        <f>IF(A33="","",(P34/60)*$T$1)</f>
        <v/>
      </c>
      <c r="S34" s="12" t="s">
        <v>58</v>
      </c>
      <c r="T34" s="50"/>
      <c r="U34" s="12" t="s">
        <v>58</v>
      </c>
      <c r="V34" s="50"/>
    </row>
    <row r="35" ht="13" customHeight="1">
      <c r="A35" s="56"/>
      <c r="B35" s="45"/>
      <c r="C35" s="3"/>
      <c r="D35" s="14"/>
      <c r="E35" s="14"/>
      <c r="F35" s="45"/>
      <c r="G35" s="3"/>
      <c r="H35" s="14"/>
      <c r="I35" s="52" t="str">
        <f>IF(A33="","",DEGREES(ASIN(($G$8*SIN(RADIANS($F$8-I34)))/H34)))</f>
        <v/>
      </c>
      <c r="J35" s="47"/>
      <c r="K35" s="47"/>
      <c r="L35" s="14"/>
      <c r="M35" s="50"/>
      <c r="N35" s="51"/>
      <c r="O35" s="47"/>
      <c r="P35" s="51"/>
      <c r="Q35" s="47"/>
      <c r="R35" s="55" t="str">
        <f>IF(A33="","",R33-R34)</f>
        <v/>
      </c>
      <c r="S35" s="12" t="s">
        <v>82</v>
      </c>
      <c r="T35" s="50"/>
      <c r="U35" s="12" t="s">
        <v>79</v>
      </c>
      <c r="V35" s="50"/>
    </row>
    <row r="36" ht="13" customHeight="1">
      <c r="A36" s="14"/>
      <c r="B36" s="45"/>
      <c r="C36" s="3"/>
      <c r="D36" s="45"/>
      <c r="E36" s="45"/>
      <c r="F36" s="58"/>
      <c r="G36" s="58"/>
      <c r="H36" s="45"/>
      <c r="I36" s="47"/>
      <c r="J36" s="48" t="str">
        <f>IF(A35="","",D36+I37)</f>
        <v/>
      </c>
      <c r="K36" s="48" t="str">
        <f>IF(A35="","",J36+J37)</f>
        <v/>
      </c>
      <c r="L36" s="49" t="str">
        <f>IF(A35="","",MOD(K36+K37,360))</f>
        <v/>
      </c>
      <c r="M36" s="50"/>
      <c r="N36" s="55" t="str">
        <f>IF(A35="","",N34-M36)</f>
        <v/>
      </c>
      <c r="O36" s="52" t="str">
        <f>IF(A35="","",SQRT(H36^2+G36^2-(2*H36*G36*COS(RADIANS(I36-F36+I37)))))</f>
        <v/>
      </c>
      <c r="P36" s="53" t="str">
        <f>IF(A35="","",(M36/O36)*60)</f>
        <v/>
      </c>
      <c r="Q36" s="54" t="str">
        <f>IF(A35="","",Q34+(P36/1440))</f>
        <v/>
      </c>
      <c r="R36" s="55" t="str">
        <f>IF(A35="","",(P36/60)*$T$1)</f>
        <v/>
      </c>
      <c r="S36" s="12" t="s">
        <v>83</v>
      </c>
      <c r="T36" s="50"/>
      <c r="U36" s="12" t="s">
        <v>83</v>
      </c>
      <c r="V36" s="50"/>
    </row>
    <row r="37" ht="13" customHeight="1">
      <c r="A37" s="56"/>
      <c r="B37" s="45"/>
      <c r="C37" s="3"/>
      <c r="D37" s="14"/>
      <c r="E37" s="14"/>
      <c r="F37" s="45"/>
      <c r="G37" s="3"/>
      <c r="H37" s="14"/>
      <c r="I37" s="52" t="str">
        <f>IF(A35="","",DEGREES(ASIN(($G$8*SIN(RADIANS($F$8-I36)))/H36)))</f>
        <v/>
      </c>
      <c r="J37" s="47"/>
      <c r="K37" s="47"/>
      <c r="L37" s="14"/>
      <c r="M37" s="50"/>
      <c r="N37" s="51"/>
      <c r="O37" s="47"/>
      <c r="P37" s="51"/>
      <c r="Q37" s="47"/>
      <c r="R37" s="55" t="str">
        <f>IF(A35="","",R35-R36)</f>
        <v/>
      </c>
      <c r="S37" s="12" t="s">
        <v>84</v>
      </c>
      <c r="T37" s="50"/>
      <c r="U37" s="12" t="s">
        <v>82</v>
      </c>
      <c r="V37" s="50"/>
    </row>
    <row r="38" ht="13" customHeight="1">
      <c r="A38" s="14"/>
      <c r="B38" s="45"/>
      <c r="C38" s="3"/>
      <c r="D38" s="45"/>
      <c r="E38" s="45"/>
      <c r="F38" s="58"/>
      <c r="G38" s="58"/>
      <c r="H38" s="45"/>
      <c r="I38" s="47"/>
      <c r="J38" s="48" t="str">
        <f>IF(A37="","",D38+I39)</f>
        <v/>
      </c>
      <c r="K38" s="48" t="str">
        <f>IF(A37="","",J38+J39)</f>
        <v/>
      </c>
      <c r="L38" s="49" t="str">
        <f>IF(A37="","",MOD(K38+K39,360))</f>
        <v/>
      </c>
      <c r="M38" s="50"/>
      <c r="N38" s="55" t="str">
        <f>IF(A37="","",N36-M38)</f>
        <v/>
      </c>
      <c r="O38" s="52" t="str">
        <f>IF(A37="","",SQRT(H38^2+G38^2-(2*H38*G38*COS(RADIANS(I38-F38+I39)))))</f>
        <v/>
      </c>
      <c r="P38" s="53" t="str">
        <f>IF(A37="","",(M38/O38)*60)</f>
        <v/>
      </c>
      <c r="Q38" s="54" t="str">
        <f>IF(A37="","",Q36+(P38/1440))</f>
        <v/>
      </c>
      <c r="R38" s="55" t="str">
        <f>IF(A37="","",(P38/60)*$T$1)</f>
        <v/>
      </c>
      <c r="S38" s="12" t="s">
        <v>85</v>
      </c>
      <c r="T38" s="50"/>
      <c r="U38" s="12" t="s">
        <v>85</v>
      </c>
      <c r="V38" s="50"/>
    </row>
    <row r="39" ht="13" customHeight="1">
      <c r="A39" s="56"/>
      <c r="B39" s="45"/>
      <c r="C39" s="3"/>
      <c r="D39" s="14"/>
      <c r="E39" s="14"/>
      <c r="F39" s="45"/>
      <c r="G39" s="3"/>
      <c r="H39" s="14"/>
      <c r="I39" s="52" t="str">
        <f>IF(A37="","",DEGREES(ASIN(($G$8*SIN(RADIANS($F$8-I38)))/H38)))</f>
        <v/>
      </c>
      <c r="J39" s="47"/>
      <c r="K39" s="47"/>
      <c r="L39" s="14"/>
      <c r="M39" s="50"/>
      <c r="N39" s="51"/>
      <c r="O39" s="47"/>
      <c r="P39" s="51"/>
      <c r="Q39" s="47"/>
      <c r="R39" s="55" t="str">
        <f>IF(A37="","",R37-R38)</f>
        <v/>
      </c>
      <c r="S39" s="12" t="s">
        <v>86</v>
      </c>
      <c r="T39" s="50"/>
      <c r="U39" s="12" t="s">
        <v>86</v>
      </c>
      <c r="V39" s="50"/>
    </row>
    <row r="40" ht="13" customHeight="1">
      <c r="A40" s="14"/>
      <c r="B40" s="45"/>
      <c r="C40" s="3"/>
      <c r="D40" s="45"/>
      <c r="E40" s="45"/>
      <c r="F40" s="58"/>
      <c r="G40" s="58"/>
      <c r="H40" s="45"/>
      <c r="I40" s="47"/>
      <c r="J40" s="48" t="str">
        <f>IF(A39="","",D40+I41)</f>
        <v/>
      </c>
      <c r="K40" s="48" t="str">
        <f>IF(A39="","",J40+J41)</f>
        <v/>
      </c>
      <c r="L40" s="49" t="str">
        <f>IF(A39="","",MOD(K40+K41,360))</f>
        <v/>
      </c>
      <c r="M40" s="50"/>
      <c r="N40" s="55" t="str">
        <f>IF(A39="","",N38-M40)</f>
        <v/>
      </c>
      <c r="O40" s="52" t="str">
        <f>IF(A39="","",SQRT(H40^2+G40^2-(2*H40*G40*COS(RADIANS(I40-F40+I41)))))</f>
        <v/>
      </c>
      <c r="P40" s="53" t="str">
        <f>IF(A39="","",(M40/O40)*60)</f>
        <v/>
      </c>
      <c r="Q40" s="54" t="str">
        <f>IF(A39="","",Q38+(P40/1440))</f>
        <v/>
      </c>
      <c r="R40" s="55" t="str">
        <f>IF(A39="","",(P40/60)*$T$1)</f>
        <v/>
      </c>
      <c r="S40" s="12" t="s">
        <v>87</v>
      </c>
      <c r="T40" s="50"/>
      <c r="U40" s="12" t="s">
        <v>87</v>
      </c>
      <c r="V40" s="50"/>
    </row>
    <row r="41" ht="13" customHeight="1">
      <c r="A41" s="71"/>
      <c r="B41" s="45"/>
      <c r="C41" s="3"/>
      <c r="D41" s="14"/>
      <c r="E41" s="14"/>
      <c r="F41" s="45"/>
      <c r="G41" s="3"/>
      <c r="H41" s="14"/>
      <c r="I41" s="52" t="str">
        <f>IF(A39="","",DEGREES(ASIN(($G$8*SIN(RADIANS($F$8-I40)))/H40)))</f>
        <v/>
      </c>
      <c r="J41" s="47"/>
      <c r="K41" s="47"/>
      <c r="L41" s="14"/>
      <c r="M41" s="50"/>
      <c r="N41" s="51"/>
      <c r="O41" s="47"/>
      <c r="P41" s="51"/>
      <c r="Q41" s="47"/>
      <c r="R41" s="55" t="str">
        <f>IF(A39="","",R39-R40)</f>
        <v/>
      </c>
      <c r="S41" s="12" t="s">
        <v>88</v>
      </c>
      <c r="T41" s="50"/>
      <c r="U41" s="12" t="s">
        <v>88</v>
      </c>
      <c r="V41" s="50"/>
    </row>
    <row r="42" ht="15" customHeight="1">
      <c r="A42" s="71"/>
      <c r="B42" s="71"/>
      <c r="C42" s="71"/>
      <c r="D42" s="71"/>
      <c r="E42" s="71"/>
      <c r="F42" s="71"/>
      <c r="G42" s="71"/>
      <c r="H42" s="71"/>
      <c r="I42" s="26" t="s">
        <v>89</v>
      </c>
      <c r="J42" s="2"/>
      <c r="K42" s="2"/>
      <c r="L42" s="3"/>
      <c r="M42" s="72">
        <f>IFERROR(SUM(M8,M10,M12,M14,M16,M18,M20,M22,M24,M26),"—")</f>
        <v>0</v>
      </c>
      <c r="N42" s="72">
        <f>IFERROR(SUM(N9,N11,N13,N15,N17,N19,N21,N23,N25,N27),"—")</f>
        <v>0</v>
      </c>
      <c r="O42" s="71"/>
      <c r="P42" s="72">
        <f>IFERROR(SUM(P9,P11,P13,P15,P17,P19,P21,P23,P25,P27,P27,P29,P31,P33,P35,P37,P39,P41),"—")</f>
        <v>0</v>
      </c>
      <c r="Q42" s="72">
        <f>IFERROR(SUM(Q9,Q11,Q13,Q15,Q17,Q19,Q21,Q23,Q25,Q27),"—")</f>
        <v>0</v>
      </c>
      <c r="R42" s="72">
        <f>IFERROR(SUM(R41,R39,R37,R35,R33,R31,R29,R27,R25,R23,R21,R19,R17,R15,R13,R11,R9),"—")</f>
        <v>0</v>
      </c>
      <c r="S42" s="12" t="s">
        <v>90</v>
      </c>
      <c r="T42" s="50"/>
      <c r="U42" s="8" t="s">
        <v>91</v>
      </c>
      <c r="V42" s="3"/>
    </row>
    <row r="43" ht="14" customHeight="1">
      <c r="S43" s="12" t="s">
        <v>92</v>
      </c>
      <c r="T43" s="50"/>
      <c r="U43" s="50"/>
      <c r="V43" s="50"/>
    </row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</sheetData>
  <mergeCells count="188">
    <mergeCell ref="A1:C1"/>
    <mergeCell ref="D1:K1"/>
    <mergeCell ref="L1:M1"/>
    <mergeCell ref="N1:Q1"/>
    <mergeCell ref="R1:S1"/>
    <mergeCell ref="U1:V1"/>
    <mergeCell ref="B2:K2"/>
    <mergeCell ref="L2:M2"/>
    <mergeCell ref="N2:Q2"/>
    <mergeCell ref="R2:S2"/>
    <mergeCell ref="U2:V2"/>
    <mergeCell ref="B3:V3"/>
    <mergeCell ref="A4:A6"/>
    <mergeCell ref="B4:C4"/>
    <mergeCell ref="D4:D7"/>
    <mergeCell ref="E4:E7"/>
    <mergeCell ref="F4:G4"/>
    <mergeCell ref="H4:H7"/>
    <mergeCell ref="L4:L7"/>
    <mergeCell ref="M4:N4"/>
    <mergeCell ref="P4:Q4"/>
    <mergeCell ref="S4:S7"/>
    <mergeCell ref="T4:U7"/>
    <mergeCell ref="V4:V7"/>
    <mergeCell ref="B5:C5"/>
    <mergeCell ref="B6:C6"/>
    <mergeCell ref="F6:G6"/>
    <mergeCell ref="A7:A8"/>
    <mergeCell ref="B7:C7"/>
    <mergeCell ref="F7:G7"/>
    <mergeCell ref="B8:C8"/>
    <mergeCell ref="D8:D9"/>
    <mergeCell ref="E8:E9"/>
    <mergeCell ref="H8:H9"/>
    <mergeCell ref="L8:L9"/>
    <mergeCell ref="S8:S11"/>
    <mergeCell ref="T8:U11"/>
    <mergeCell ref="V8:V11"/>
    <mergeCell ref="A9:A10"/>
    <mergeCell ref="B9:C9"/>
    <mergeCell ref="F9:G9"/>
    <mergeCell ref="B10:C10"/>
    <mergeCell ref="D10:D11"/>
    <mergeCell ref="E10:E11"/>
    <mergeCell ref="H10:H11"/>
    <mergeCell ref="L10:L11"/>
    <mergeCell ref="A11:A12"/>
    <mergeCell ref="B11:C11"/>
    <mergeCell ref="F11:G11"/>
    <mergeCell ref="B12:C12"/>
    <mergeCell ref="D12:D13"/>
    <mergeCell ref="E12:E13"/>
    <mergeCell ref="H12:H13"/>
    <mergeCell ref="L12:L13"/>
    <mergeCell ref="S12:S15"/>
    <mergeCell ref="T12:U15"/>
    <mergeCell ref="V12:V15"/>
    <mergeCell ref="A13:A14"/>
    <mergeCell ref="B13:C13"/>
    <mergeCell ref="F13:G13"/>
    <mergeCell ref="B14:C14"/>
    <mergeCell ref="D14:D15"/>
    <mergeCell ref="E14:E15"/>
    <mergeCell ref="H14:H15"/>
    <mergeCell ref="L14:L15"/>
    <mergeCell ref="A15:A16"/>
    <mergeCell ref="B15:C15"/>
    <mergeCell ref="F15:G15"/>
    <mergeCell ref="B16:C16"/>
    <mergeCell ref="D16:D17"/>
    <mergeCell ref="E16:E17"/>
    <mergeCell ref="H16:H17"/>
    <mergeCell ref="L16:L17"/>
    <mergeCell ref="S16:S19"/>
    <mergeCell ref="T16:U19"/>
    <mergeCell ref="V16:V19"/>
    <mergeCell ref="A17:A18"/>
    <mergeCell ref="B17:C17"/>
    <mergeCell ref="F17:G17"/>
    <mergeCell ref="B18:C18"/>
    <mergeCell ref="D18:D19"/>
    <mergeCell ref="E18:E19"/>
    <mergeCell ref="H18:H19"/>
    <mergeCell ref="L18:L19"/>
    <mergeCell ref="A19:A20"/>
    <mergeCell ref="B19:C19"/>
    <mergeCell ref="F19:G19"/>
    <mergeCell ref="B20:C20"/>
    <mergeCell ref="D20:D21"/>
    <mergeCell ref="E20:E21"/>
    <mergeCell ref="H20:H21"/>
    <mergeCell ref="L20:L21"/>
    <mergeCell ref="S20:S23"/>
    <mergeCell ref="T20:U23"/>
    <mergeCell ref="V20:V23"/>
    <mergeCell ref="A21:A22"/>
    <mergeCell ref="B21:C21"/>
    <mergeCell ref="F21:G21"/>
    <mergeCell ref="B22:C22"/>
    <mergeCell ref="D22:D23"/>
    <mergeCell ref="E22:E23"/>
    <mergeCell ref="H22:H23"/>
    <mergeCell ref="L22:L23"/>
    <mergeCell ref="A23:A24"/>
    <mergeCell ref="B23:C23"/>
    <mergeCell ref="F23:G23"/>
    <mergeCell ref="B24:C24"/>
    <mergeCell ref="D24:D25"/>
    <mergeCell ref="E24:E25"/>
    <mergeCell ref="H24:H25"/>
    <mergeCell ref="L24:L25"/>
    <mergeCell ref="S24:S27"/>
    <mergeCell ref="T24:U27"/>
    <mergeCell ref="V24:V27"/>
    <mergeCell ref="A25:A26"/>
    <mergeCell ref="B25:C25"/>
    <mergeCell ref="F25:G25"/>
    <mergeCell ref="B26:C26"/>
    <mergeCell ref="D26:D27"/>
    <mergeCell ref="E26:E27"/>
    <mergeCell ref="H26:H27"/>
    <mergeCell ref="L26:L27"/>
    <mergeCell ref="A27:A28"/>
    <mergeCell ref="B27:C27"/>
    <mergeCell ref="F27:G27"/>
    <mergeCell ref="B28:C28"/>
    <mergeCell ref="D28:D29"/>
    <mergeCell ref="E28:E29"/>
    <mergeCell ref="H28:H29"/>
    <mergeCell ref="L28:L29"/>
    <mergeCell ref="S28:S31"/>
    <mergeCell ref="T28:U31"/>
    <mergeCell ref="V28:V31"/>
    <mergeCell ref="A29:A30"/>
    <mergeCell ref="B29:C29"/>
    <mergeCell ref="F29:G29"/>
    <mergeCell ref="B30:C30"/>
    <mergeCell ref="D30:D31"/>
    <mergeCell ref="E30:E31"/>
    <mergeCell ref="H30:H31"/>
    <mergeCell ref="L30:L31"/>
    <mergeCell ref="A31:A32"/>
    <mergeCell ref="B31:C31"/>
    <mergeCell ref="F31:G31"/>
    <mergeCell ref="B32:C32"/>
    <mergeCell ref="D32:D33"/>
    <mergeCell ref="E32:E33"/>
    <mergeCell ref="H32:H33"/>
    <mergeCell ref="L32:L33"/>
    <mergeCell ref="S32:V32"/>
    <mergeCell ref="A33:A34"/>
    <mergeCell ref="B33:C33"/>
    <mergeCell ref="F33:G33"/>
    <mergeCell ref="S33:T33"/>
    <mergeCell ref="U33:V33"/>
    <mergeCell ref="B34:C34"/>
    <mergeCell ref="D34:D35"/>
    <mergeCell ref="E34:E35"/>
    <mergeCell ref="H34:H35"/>
    <mergeCell ref="L34:L35"/>
    <mergeCell ref="A35:A36"/>
    <mergeCell ref="B35:C35"/>
    <mergeCell ref="F35:G35"/>
    <mergeCell ref="B36:C36"/>
    <mergeCell ref="D36:D37"/>
    <mergeCell ref="E36:E37"/>
    <mergeCell ref="H36:H37"/>
    <mergeCell ref="L36:L37"/>
    <mergeCell ref="A37:A38"/>
    <mergeCell ref="B37:C37"/>
    <mergeCell ref="F37:G37"/>
    <mergeCell ref="B38:C38"/>
    <mergeCell ref="D38:D39"/>
    <mergeCell ref="E38:E39"/>
    <mergeCell ref="H38:H39"/>
    <mergeCell ref="L38:L39"/>
    <mergeCell ref="A39:A40"/>
    <mergeCell ref="B39:C39"/>
    <mergeCell ref="F39:G39"/>
    <mergeCell ref="B40:C40"/>
    <mergeCell ref="D40:D41"/>
    <mergeCell ref="E40:E41"/>
    <mergeCell ref="H40:H41"/>
    <mergeCell ref="L40:L41"/>
    <mergeCell ref="B41:C41"/>
    <mergeCell ref="F41:G41"/>
    <mergeCell ref="I42:L42"/>
    <mergeCell ref="U42:V42"/>
  </mergeCells>
  <printOptions headings="0" gridLines="0"/>
  <pageMargins left="0.75" right="0.75" top="1" bottom="1" header="0.5" footer="0.5"/>
  <pageSetup paperSize="1" scale="72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A1" activeCellId="0" sqref="A1"/>
    </sheetView>
  </sheetViews>
  <sheetFormatPr baseColWidth="8" defaultRowHeight="14.25"/>
  <cols>
    <col customWidth="1" min="1" max="1" width="24"/>
    <col customWidth="1" min="2" max="3" width="13"/>
    <col customWidth="1" min="4" max="4" width="16"/>
    <col customWidth="1" min="5" max="8" width="13"/>
    <col customWidth="1" min="9" max="9" width="14"/>
  </cols>
  <sheetData>
    <row r="1" ht="22" customHeight="1">
      <c r="A1" s="73" t="s">
        <v>93</v>
      </c>
      <c r="B1" s="2"/>
      <c r="C1" s="2"/>
      <c r="D1" s="2"/>
      <c r="E1" s="2"/>
      <c r="F1" s="2"/>
      <c r="G1" s="2"/>
      <c r="H1" s="2"/>
      <c r="I1" s="3"/>
    </row>
    <row r="2" ht="13" customHeight="1">
      <c r="A2" s="74" t="s">
        <v>94</v>
      </c>
      <c r="B2" s="2"/>
      <c r="C2" s="2"/>
      <c r="D2" s="2"/>
      <c r="E2" s="2"/>
      <c r="F2" s="2"/>
      <c r="G2" s="2"/>
      <c r="H2" s="2"/>
      <c r="I2" s="3"/>
    </row>
    <row r="3" ht="14" customHeight="1">
      <c r="A3" s="26" t="s">
        <v>95</v>
      </c>
      <c r="B3" s="15" t="s">
        <v>96</v>
      </c>
      <c r="C3" s="15" t="s">
        <v>97</v>
      </c>
      <c r="D3" s="24" t="s">
        <v>98</v>
      </c>
      <c r="E3" s="2"/>
      <c r="F3" s="2"/>
      <c r="G3" s="2"/>
      <c r="H3" s="2"/>
      <c r="I3" s="3"/>
    </row>
    <row r="4" ht="15" customHeight="1">
      <c r="A4" s="75" t="s">
        <v>99</v>
      </c>
      <c r="B4" s="76"/>
      <c r="C4" s="77" t="s">
        <v>100</v>
      </c>
      <c r="D4" s="78" t="s">
        <v>101</v>
      </c>
      <c r="E4" s="2"/>
      <c r="F4" s="2"/>
      <c r="G4" s="2"/>
      <c r="H4" s="2"/>
      <c r="I4" s="3"/>
    </row>
    <row r="5" ht="15" customHeight="1">
      <c r="A5" s="75" t="s">
        <v>102</v>
      </c>
      <c r="B5" s="76"/>
      <c r="C5" s="77" t="s">
        <v>103</v>
      </c>
      <c r="D5" s="78" t="s">
        <v>104</v>
      </c>
      <c r="E5" s="2"/>
      <c r="F5" s="2"/>
      <c r="G5" s="2"/>
      <c r="H5" s="2"/>
      <c r="I5" s="3"/>
    </row>
    <row r="6" ht="15" customHeight="1">
      <c r="A6" s="75" t="s">
        <v>105</v>
      </c>
      <c r="B6" s="76"/>
      <c r="C6" s="77" t="s">
        <v>106</v>
      </c>
      <c r="D6" s="78" t="s">
        <v>107</v>
      </c>
      <c r="E6" s="2"/>
      <c r="F6" s="2"/>
      <c r="G6" s="2"/>
      <c r="H6" s="2"/>
      <c r="I6" s="3"/>
    </row>
    <row r="7" ht="15" customHeight="1">
      <c r="A7" s="75" t="s">
        <v>108</v>
      </c>
      <c r="B7" s="76"/>
      <c r="C7" s="77" t="s">
        <v>100</v>
      </c>
      <c r="D7" s="78" t="s">
        <v>109</v>
      </c>
      <c r="E7" s="2"/>
      <c r="F7" s="2"/>
      <c r="G7" s="2"/>
      <c r="H7" s="2"/>
      <c r="I7" s="3"/>
    </row>
    <row r="8" ht="15" customHeight="1">
      <c r="A8" s="75" t="s">
        <v>110</v>
      </c>
      <c r="B8" s="76"/>
      <c r="C8" s="77" t="s">
        <v>111</v>
      </c>
      <c r="D8" s="78" t="s">
        <v>109</v>
      </c>
      <c r="E8" s="2"/>
      <c r="F8" s="2"/>
      <c r="G8" s="2"/>
      <c r="H8" s="2"/>
      <c r="I8" s="3"/>
    </row>
    <row r="9" ht="15" customHeight="1">
      <c r="A9" s="75" t="s">
        <v>112</v>
      </c>
      <c r="B9" s="76"/>
      <c r="C9" s="77" t="s">
        <v>111</v>
      </c>
      <c r="D9" s="78" t="s">
        <v>113</v>
      </c>
      <c r="E9" s="2"/>
      <c r="F9" s="2"/>
      <c r="G9" s="2"/>
      <c r="H9" s="2"/>
      <c r="I9" s="3"/>
    </row>
    <row r="10" ht="15" customHeight="1">
      <c r="A10" s="75" t="s">
        <v>114</v>
      </c>
      <c r="B10" s="76"/>
      <c r="C10" s="77" t="s">
        <v>111</v>
      </c>
      <c r="D10" s="78" t="s">
        <v>113</v>
      </c>
      <c r="E10" s="2"/>
      <c r="F10" s="2"/>
      <c r="G10" s="2"/>
      <c r="H10" s="2"/>
      <c r="I10" s="3"/>
    </row>
    <row r="11" ht="10" customHeight="1">
      <c r="A11" s="6"/>
      <c r="B11" s="2"/>
      <c r="C11" s="2"/>
      <c r="D11" s="2"/>
      <c r="E11" s="2"/>
      <c r="F11" s="2"/>
      <c r="G11" s="2"/>
      <c r="H11" s="2"/>
      <c r="I11" s="3"/>
    </row>
    <row r="12" ht="14" customHeight="1">
      <c r="A12" s="79" t="s">
        <v>115</v>
      </c>
      <c r="B12" s="2"/>
      <c r="C12" s="2"/>
      <c r="D12" s="2"/>
      <c r="E12" s="2"/>
      <c r="F12" s="2"/>
      <c r="G12" s="2"/>
      <c r="H12" s="2"/>
      <c r="I12" s="3"/>
    </row>
    <row r="13" ht="14" customHeight="1">
      <c r="A13" s="15" t="s">
        <v>116</v>
      </c>
      <c r="B13" s="26" t="s">
        <v>117</v>
      </c>
      <c r="C13" s="26" t="s">
        <v>118</v>
      </c>
      <c r="D13" s="26" t="s">
        <v>119</v>
      </c>
      <c r="E13" s="24" t="s">
        <v>120</v>
      </c>
      <c r="F13" s="2"/>
      <c r="G13" s="2"/>
      <c r="H13" s="2"/>
      <c r="I13" s="3"/>
    </row>
    <row r="14" ht="15" customHeight="1">
      <c r="A14" s="75" t="s">
        <v>121</v>
      </c>
      <c r="B14" s="80">
        <f>B7</f>
        <v>0</v>
      </c>
      <c r="C14" s="80">
        <f>B8</f>
        <v>0</v>
      </c>
      <c r="D14" s="81">
        <f t="shared" ref="D14:D21" si="0">IFERROR(B14*C14,"")</f>
        <v>0</v>
      </c>
      <c r="E14" s="78" t="s">
        <v>122</v>
      </c>
      <c r="F14" s="2"/>
      <c r="G14" s="2"/>
      <c r="H14" s="2"/>
      <c r="I14" s="3"/>
    </row>
    <row r="15" ht="15" customHeight="1">
      <c r="A15" s="75" t="s">
        <v>123</v>
      </c>
      <c r="B15" s="76"/>
      <c r="C15" s="76"/>
      <c r="D15" s="81">
        <f t="shared" si="0"/>
        <v>0</v>
      </c>
      <c r="E15" s="78" t="s">
        <v>124</v>
      </c>
      <c r="F15" s="2"/>
      <c r="G15" s="2"/>
      <c r="H15" s="2"/>
      <c r="I15" s="3"/>
    </row>
    <row r="16" ht="25.5" customHeight="1">
      <c r="A16" s="75" t="s">
        <v>125</v>
      </c>
      <c r="B16" s="76"/>
      <c r="C16" s="76"/>
      <c r="D16" s="81">
        <f t="shared" si="0"/>
        <v>0</v>
      </c>
      <c r="E16" s="78"/>
      <c r="F16" s="2"/>
      <c r="G16" s="2"/>
      <c r="H16" s="2"/>
      <c r="I16" s="3"/>
    </row>
    <row r="17" ht="15" customHeight="1">
      <c r="A17" s="75" t="s">
        <v>126</v>
      </c>
      <c r="B17" s="76"/>
      <c r="C17" s="76"/>
      <c r="D17" s="81">
        <f t="shared" si="0"/>
        <v>0</v>
      </c>
      <c r="E17" s="78"/>
      <c r="F17" s="2"/>
      <c r="G17" s="2"/>
      <c r="H17" s="2"/>
      <c r="I17" s="3"/>
    </row>
    <row r="18" ht="15" customHeight="1">
      <c r="A18" s="75" t="s">
        <v>127</v>
      </c>
      <c r="B18" s="76"/>
      <c r="C18" s="76"/>
      <c r="D18" s="81">
        <f t="shared" si="0"/>
        <v>0</v>
      </c>
      <c r="E18" s="78"/>
      <c r="F18" s="2"/>
      <c r="G18" s="2"/>
      <c r="H18" s="2"/>
      <c r="I18" s="3"/>
    </row>
    <row r="19" ht="15" customHeight="1">
      <c r="A19" s="75" t="s">
        <v>128</v>
      </c>
      <c r="B19" s="76"/>
      <c r="C19" s="76"/>
      <c r="D19" s="81">
        <f t="shared" si="0"/>
        <v>0</v>
      </c>
      <c r="E19" s="78" t="s">
        <v>129</v>
      </c>
      <c r="F19" s="2"/>
      <c r="G19" s="2"/>
      <c r="H19" s="2"/>
      <c r="I19" s="3"/>
    </row>
    <row r="20" ht="15" customHeight="1">
      <c r="A20" s="75" t="s">
        <v>130</v>
      </c>
      <c r="B20" s="76"/>
      <c r="C20" s="76"/>
      <c r="D20" s="81">
        <f t="shared" si="0"/>
        <v>0</v>
      </c>
      <c r="E20" s="78" t="s">
        <v>129</v>
      </c>
      <c r="F20" s="2"/>
      <c r="G20" s="2"/>
      <c r="H20" s="2"/>
      <c r="I20" s="3"/>
    </row>
    <row r="21" ht="15" customHeight="1">
      <c r="A21" s="75" t="s">
        <v>131</v>
      </c>
      <c r="B21" s="80">
        <f>B5*B6</f>
        <v>0</v>
      </c>
      <c r="C21" s="76"/>
      <c r="D21" s="81">
        <f t="shared" si="0"/>
        <v>0</v>
      </c>
      <c r="E21" s="78" t="s">
        <v>132</v>
      </c>
      <c r="F21" s="2"/>
      <c r="G21" s="2"/>
      <c r="H21" s="2"/>
      <c r="I21" s="3"/>
    </row>
    <row r="22" ht="16" customHeight="1">
      <c r="A22" s="82" t="s">
        <v>133</v>
      </c>
      <c r="B22" s="83">
        <f>SUM(B14,B15,B16,B17,B18,B19,B20,B21)</f>
        <v>0</v>
      </c>
      <c r="C22" s="84"/>
      <c r="D22" s="85">
        <f>SUM(D14,D15,D16,D17,D18,D19,D20,D21)</f>
        <v>0</v>
      </c>
      <c r="E22" s="6"/>
      <c r="F22" s="2"/>
      <c r="G22" s="2"/>
      <c r="H22" s="2"/>
      <c r="I22" s="3"/>
    </row>
    <row r="23" ht="16" customHeight="1">
      <c r="A23" s="26" t="s">
        <v>134</v>
      </c>
      <c r="B23" s="2"/>
      <c r="C23" s="3"/>
      <c r="D23" s="86" t="str">
        <f>IFERROR(D22/B22,"")</f>
        <v/>
      </c>
      <c r="E23" s="6"/>
      <c r="F23" s="2"/>
      <c r="G23" s="2"/>
      <c r="H23" s="2"/>
      <c r="I23" s="3"/>
    </row>
    <row r="24" ht="16" customHeight="1">
      <c r="A24" s="26" t="s">
        <v>135</v>
      </c>
      <c r="B24" s="2"/>
      <c r="C24" s="3"/>
      <c r="D24" s="87" t="str">
        <f>IF(B22&lt;=B4,"✓  WITHIN LIMITS  ("&amp;TEXT(B22,"0.0")&amp;" / "&amp;TEXT(B4,"0")&amp;" lbs)","✗  OVER MAX GROSS WEIGHT")</f>
        <v xml:space="preserve">✓  WITHIN LIMITS  (0.0 / 0 lbs)</v>
      </c>
      <c r="E24" s="2"/>
      <c r="F24" s="2"/>
      <c r="G24" s="2"/>
      <c r="H24" s="2"/>
      <c r="I24" s="3"/>
    </row>
    <row r="25" ht="16" customHeight="1">
      <c r="A25" s="26" t="s">
        <v>136</v>
      </c>
      <c r="B25" s="2"/>
      <c r="C25" s="3"/>
      <c r="D25" s="87" t="str">
        <f>IF(AND(D23&gt;=B9,D23&lt;=B10),"✓  CG IN ENVELOPE  ("&amp;TEXT(D23,"0.00")&amp;" in)","✗  CG OUT OF ENVELOPE")</f>
        <v xml:space="preserve">✓  CG IN ENVELOPE  ( in)</v>
      </c>
      <c r="E25" s="2"/>
      <c r="F25" s="2"/>
      <c r="G25" s="2"/>
      <c r="H25" s="2"/>
      <c r="I25" s="3"/>
    </row>
    <row r="26" ht="10" customHeight="1">
      <c r="A26" s="6"/>
      <c r="B26" s="2"/>
      <c r="C26" s="2"/>
      <c r="D26" s="2"/>
      <c r="E26" s="2"/>
      <c r="F26" s="2"/>
      <c r="G26" s="2"/>
      <c r="H26" s="2"/>
      <c r="I26" s="3"/>
    </row>
    <row r="27" ht="14" customHeight="1">
      <c r="A27" s="24" t="s">
        <v>98</v>
      </c>
      <c r="B27" s="2"/>
      <c r="C27" s="2"/>
      <c r="D27" s="2"/>
      <c r="E27" s="2"/>
      <c r="F27" s="2"/>
      <c r="G27" s="2"/>
      <c r="H27" s="2"/>
      <c r="I27" s="3"/>
    </row>
    <row r="28" ht="50" customHeight="1">
      <c r="A28" s="88"/>
      <c r="B28" s="2"/>
      <c r="C28" s="2"/>
      <c r="D28" s="2"/>
      <c r="E28" s="2"/>
      <c r="F28" s="2"/>
      <c r="G28" s="2"/>
      <c r="H28" s="2"/>
      <c r="I28" s="3"/>
    </row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</sheetData>
  <mergeCells count="31">
    <mergeCell ref="A25:C25"/>
    <mergeCell ref="E21:I21"/>
    <mergeCell ref="A27:I27"/>
    <mergeCell ref="E23:I23"/>
    <mergeCell ref="A12:I12"/>
    <mergeCell ref="E14:I14"/>
    <mergeCell ref="A26:I26"/>
    <mergeCell ref="D7:I7"/>
    <mergeCell ref="E17:I17"/>
    <mergeCell ref="A2:I2"/>
    <mergeCell ref="E20:I20"/>
    <mergeCell ref="A23:C23"/>
    <mergeCell ref="D4:I4"/>
    <mergeCell ref="D9:I9"/>
    <mergeCell ref="E13:I13"/>
    <mergeCell ref="E19:I19"/>
    <mergeCell ref="D3:I3"/>
    <mergeCell ref="D25:I25"/>
    <mergeCell ref="D8:I8"/>
    <mergeCell ref="D24:I24"/>
    <mergeCell ref="E15:I15"/>
    <mergeCell ref="A28:I28"/>
    <mergeCell ref="D5:I5"/>
    <mergeCell ref="A24:C24"/>
    <mergeCell ref="D10:I10"/>
    <mergeCell ref="A11:I11"/>
    <mergeCell ref="E16:I16"/>
    <mergeCell ref="A1:I1"/>
    <mergeCell ref="D6:I6"/>
    <mergeCell ref="E22:I22"/>
    <mergeCell ref="E18:I18"/>
  </mergeCells>
  <printOptions headings="0" gridLines="0"/>
  <pageMargins left="0.75" right="0.75" top="1" bottom="1" header="0.5" footer="0.5"/>
  <pageSetup paperSize="1" scale="96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6"/>
    <col customWidth="1" min="2" max="2" width="13"/>
    <col customWidth="1" min="3" max="3" width="12"/>
    <col customWidth="1" min="4" max="7" width="13"/>
    <col customWidth="1" min="8" max="8" width="14"/>
  </cols>
  <sheetData>
    <row r="1" ht="22" customHeight="1">
      <c r="A1" s="73" t="s">
        <v>137</v>
      </c>
      <c r="B1" s="2"/>
      <c r="C1" s="2"/>
      <c r="D1" s="2"/>
      <c r="E1" s="2"/>
      <c r="F1" s="2"/>
      <c r="G1" s="2"/>
      <c r="H1" s="3"/>
    </row>
    <row r="2" ht="13" customHeight="1">
      <c r="A2" s="74" t="s">
        <v>138</v>
      </c>
      <c r="B2" s="2"/>
      <c r="C2" s="2"/>
      <c r="D2" s="2"/>
      <c r="E2" s="2"/>
      <c r="F2" s="2"/>
      <c r="G2" s="2"/>
      <c r="H2" s="3"/>
    </row>
    <row r="3" ht="14" customHeight="1">
      <c r="A3" s="82" t="s">
        <v>139</v>
      </c>
      <c r="B3" s="2"/>
      <c r="C3" s="2"/>
      <c r="D3" s="2"/>
      <c r="E3" s="2"/>
      <c r="F3" s="2"/>
      <c r="G3" s="2"/>
      <c r="H3" s="3"/>
    </row>
    <row r="4" ht="16" customHeight="1">
      <c r="A4" s="15" t="s">
        <v>140</v>
      </c>
      <c r="B4" s="15" t="s">
        <v>96</v>
      </c>
      <c r="C4" s="15" t="s">
        <v>97</v>
      </c>
      <c r="D4" s="24" t="s">
        <v>141</v>
      </c>
      <c r="E4" s="2"/>
      <c r="F4" s="2"/>
      <c r="G4" s="2"/>
      <c r="H4" s="3"/>
    </row>
    <row r="5" ht="15" customHeight="1">
      <c r="A5" s="75" t="s">
        <v>142</v>
      </c>
      <c r="B5" s="89">
        <f>'Navigation Log'!T1</f>
        <v>0</v>
      </c>
      <c r="C5" s="77" t="s">
        <v>143</v>
      </c>
      <c r="D5" s="78" t="s">
        <v>144</v>
      </c>
      <c r="E5" s="2"/>
      <c r="F5" s="2"/>
      <c r="G5" s="2"/>
      <c r="H5" s="3"/>
    </row>
    <row r="6" ht="15" customHeight="1">
      <c r="A6" s="75" t="s">
        <v>145</v>
      </c>
      <c r="B6" s="89">
        <f>'Navigation Log'!T2</f>
        <v>0</v>
      </c>
      <c r="C6" s="77" t="s">
        <v>103</v>
      </c>
      <c r="D6" s="78" t="s">
        <v>146</v>
      </c>
      <c r="E6" s="2"/>
      <c r="F6" s="2"/>
      <c r="G6" s="2"/>
      <c r="H6" s="3"/>
    </row>
    <row r="7" ht="15" customHeight="1">
      <c r="A7" s="75" t="s">
        <v>147</v>
      </c>
      <c r="B7" s="90"/>
      <c r="C7" s="77" t="s">
        <v>148</v>
      </c>
      <c r="D7" s="78" t="s">
        <v>149</v>
      </c>
      <c r="E7" s="2"/>
      <c r="F7" s="2"/>
      <c r="G7" s="2"/>
      <c r="H7" s="3"/>
    </row>
    <row r="8" ht="15" customHeight="1">
      <c r="A8" s="75" t="s">
        <v>150</v>
      </c>
      <c r="B8" s="91">
        <f>IFERROR('Weather &amp; Flight Plan'!D19+('Weather &amp; Flight Plan'!E19/60),"")</f>
        <v>0</v>
      </c>
      <c r="C8" s="77" t="s">
        <v>151</v>
      </c>
      <c r="D8" s="78" t="s">
        <v>152</v>
      </c>
      <c r="E8" s="2"/>
      <c r="F8" s="2"/>
      <c r="G8" s="2"/>
      <c r="H8" s="3"/>
    </row>
    <row r="9" ht="15" customHeight="1">
      <c r="A9" s="75" t="s">
        <v>153</v>
      </c>
      <c r="B9" s="90"/>
      <c r="C9" s="77" t="s">
        <v>151</v>
      </c>
      <c r="D9" s="78" t="s">
        <v>154</v>
      </c>
      <c r="E9" s="2"/>
      <c r="F9" s="2"/>
      <c r="G9" s="2"/>
      <c r="H9" s="3"/>
    </row>
    <row r="10" ht="15" customHeight="1">
      <c r="A10" s="75" t="s">
        <v>155</v>
      </c>
      <c r="B10" s="90"/>
      <c r="C10" s="77" t="s">
        <v>151</v>
      </c>
      <c r="D10" s="78" t="s">
        <v>156</v>
      </c>
      <c r="E10" s="2"/>
      <c r="F10" s="2"/>
      <c r="G10" s="2"/>
      <c r="H10" s="3"/>
    </row>
    <row r="11" ht="15" customHeight="1">
      <c r="A11" s="75" t="s">
        <v>157</v>
      </c>
      <c r="B11" s="90"/>
      <c r="C11" s="77" t="s">
        <v>151</v>
      </c>
      <c r="D11" s="78" t="s">
        <v>158</v>
      </c>
      <c r="E11" s="2"/>
      <c r="F11" s="2"/>
      <c r="G11" s="2"/>
      <c r="H11" s="3"/>
    </row>
    <row r="12" ht="10" customHeight="1">
      <c r="A12" s="6"/>
      <c r="B12" s="2"/>
      <c r="C12" s="2"/>
      <c r="D12" s="2"/>
      <c r="E12" s="2"/>
      <c r="F12" s="2"/>
      <c r="G12" s="2"/>
      <c r="H12" s="3"/>
    </row>
    <row r="13" ht="14" customHeight="1">
      <c r="A13" s="82" t="s">
        <v>159</v>
      </c>
      <c r="B13" s="2"/>
      <c r="C13" s="2"/>
      <c r="D13" s="2"/>
      <c r="E13" s="2"/>
      <c r="F13" s="2"/>
      <c r="G13" s="2"/>
      <c r="H13" s="3"/>
    </row>
    <row r="14" ht="16" customHeight="1">
      <c r="A14" s="15" t="s">
        <v>116</v>
      </c>
      <c r="B14" s="26" t="s">
        <v>160</v>
      </c>
      <c r="C14" s="26" t="s">
        <v>161</v>
      </c>
      <c r="D14" s="24" t="s">
        <v>98</v>
      </c>
      <c r="E14" s="2"/>
      <c r="F14" s="2"/>
      <c r="G14" s="2"/>
      <c r="H14" s="3"/>
    </row>
    <row r="15" ht="16" customHeight="1">
      <c r="A15" s="75" t="s">
        <v>162</v>
      </c>
      <c r="B15" s="92">
        <f>IFERROR(B8*B5,"")</f>
        <v>0</v>
      </c>
      <c r="C15" s="93">
        <f>IFERROR(B8,"")</f>
        <v>0</v>
      </c>
      <c r="D15" s="78" t="s">
        <v>163</v>
      </c>
      <c r="E15" s="2"/>
      <c r="F15" s="2"/>
      <c r="G15" s="2"/>
      <c r="H15" s="3"/>
    </row>
    <row r="16" ht="16" customHeight="1">
      <c r="A16" s="75" t="s">
        <v>164</v>
      </c>
      <c r="B16" s="92">
        <f>IFERROR(B9*B5,"")</f>
        <v>0</v>
      </c>
      <c r="C16" s="93">
        <f>B9</f>
        <v>0</v>
      </c>
      <c r="D16" s="78" t="s">
        <v>165</v>
      </c>
      <c r="E16" s="2"/>
      <c r="F16" s="2"/>
      <c r="G16" s="2"/>
      <c r="H16" s="3"/>
    </row>
    <row r="17" ht="16" customHeight="1">
      <c r="A17" s="75" t="s">
        <v>166</v>
      </c>
      <c r="B17" s="92">
        <f>IFERROR(B10*B5,"")</f>
        <v>0</v>
      </c>
      <c r="C17" s="93">
        <f t="shared" ref="C17:C18" si="1">B10</f>
        <v>0</v>
      </c>
      <c r="D17" s="78" t="s">
        <v>167</v>
      </c>
      <c r="E17" s="2"/>
      <c r="F17" s="2"/>
      <c r="G17" s="2"/>
      <c r="H17" s="3"/>
    </row>
    <row r="18" ht="16" customHeight="1">
      <c r="A18" s="75" t="s">
        <v>168</v>
      </c>
      <c r="B18" s="92">
        <f>IFERROR(B11*B5,"")</f>
        <v>0</v>
      </c>
      <c r="C18" s="93">
        <f t="shared" si="1"/>
        <v>0</v>
      </c>
      <c r="D18" s="78" t="s">
        <v>169</v>
      </c>
      <c r="E18" s="2"/>
      <c r="F18" s="2"/>
      <c r="G18" s="2"/>
      <c r="H18" s="3"/>
    </row>
    <row r="19" ht="16" customHeight="1">
      <c r="A19" s="24" t="s">
        <v>170</v>
      </c>
      <c r="B19" s="83">
        <f>SUM(B15,B16,B17,B18)</f>
        <v>0</v>
      </c>
      <c r="C19" s="93">
        <f>SUM(C15,C16,C17,C18)</f>
        <v>0</v>
      </c>
      <c r="D19" s="74" t="s">
        <v>171</v>
      </c>
      <c r="E19" s="2"/>
      <c r="F19" s="2"/>
      <c r="G19" s="2"/>
      <c r="H19" s="3"/>
    </row>
    <row r="20" ht="16" customHeight="1">
      <c r="A20" s="94" t="s">
        <v>172</v>
      </c>
      <c r="B20" s="80">
        <f>B6</f>
        <v>0</v>
      </c>
      <c r="C20" s="78" t="s">
        <v>173</v>
      </c>
      <c r="D20" s="2"/>
      <c r="E20" s="2"/>
      <c r="F20" s="2"/>
      <c r="G20" s="2"/>
      <c r="H20" s="3"/>
    </row>
    <row r="21" ht="16" customHeight="1">
      <c r="A21" s="26" t="s">
        <v>174</v>
      </c>
      <c r="B21" s="95">
        <f>IFERROR(B20-B19,"")</f>
        <v>0</v>
      </c>
      <c r="C21" s="78" t="s">
        <v>175</v>
      </c>
      <c r="D21" s="2"/>
      <c r="E21" s="2"/>
      <c r="F21" s="2"/>
      <c r="G21" s="2"/>
      <c r="H21" s="3"/>
    </row>
    <row r="22" ht="16" customHeight="1">
      <c r="A22" s="94" t="s">
        <v>176</v>
      </c>
      <c r="B22" s="96" t="str">
        <f>IFERROR(B6/B5,"")</f>
        <v/>
      </c>
      <c r="C22" s="78" t="s">
        <v>177</v>
      </c>
      <c r="D22" s="2"/>
      <c r="E22" s="2"/>
      <c r="F22" s="2"/>
      <c r="G22" s="2"/>
      <c r="H22" s="3"/>
    </row>
    <row r="23" ht="16" customHeight="1">
      <c r="A23" s="94" t="s">
        <v>178</v>
      </c>
      <c r="B23" s="97" t="str">
        <f>IFERROR(B22*B7,"")</f>
        <v/>
      </c>
      <c r="C23" s="78" t="s">
        <v>179</v>
      </c>
      <c r="D23" s="2"/>
      <c r="E23" s="2"/>
      <c r="F23" s="2"/>
      <c r="G23" s="2"/>
      <c r="H23" s="3"/>
    </row>
    <row r="24" ht="10" customHeight="1">
      <c r="A24" s="6"/>
      <c r="B24" s="2"/>
      <c r="C24" s="2"/>
      <c r="D24" s="2"/>
      <c r="E24" s="2"/>
      <c r="F24" s="2"/>
      <c r="G24" s="2"/>
      <c r="H24" s="3"/>
    </row>
    <row r="25" ht="20" customHeight="1">
      <c r="A25" s="17" t="s">
        <v>180</v>
      </c>
      <c r="B25" s="2"/>
      <c r="C25" s="3"/>
      <c r="D25" s="98" t="str">
        <f>IF(B21&gt;=0,"✓  GO  —  Sufficient fuel on board  ("&amp;TEXT(B21,"0.0")&amp;" gal surplus)","✗  NO-GO  —  Need "&amp;TEXT(ABS(B21),"0.0")&amp;" more gallons")</f>
        <v xml:space="preserve">✓  GO  —  Sufficient fuel on board  (0.0 gal surplus)</v>
      </c>
      <c r="E25" s="2"/>
      <c r="F25" s="2"/>
      <c r="G25" s="2"/>
      <c r="H25" s="3"/>
    </row>
    <row r="26" ht="10" customHeight="1">
      <c r="A26" s="6"/>
      <c r="B26" s="2"/>
      <c r="C26" s="2"/>
      <c r="D26" s="2"/>
      <c r="E26" s="2"/>
      <c r="F26" s="2"/>
      <c r="G26" s="2"/>
      <c r="H26" s="3"/>
    </row>
    <row r="27" ht="14" customHeight="1">
      <c r="A27" s="82" t="s">
        <v>181</v>
      </c>
      <c r="B27" s="2"/>
      <c r="C27" s="2"/>
      <c r="D27" s="2"/>
      <c r="E27" s="2"/>
      <c r="F27" s="2"/>
      <c r="G27" s="2"/>
      <c r="H27" s="3"/>
    </row>
    <row r="28" ht="14" customHeight="1">
      <c r="A28" s="99" t="s">
        <v>182</v>
      </c>
      <c r="B28" s="26" t="s">
        <v>183</v>
      </c>
      <c r="C28" s="15" t="s">
        <v>57</v>
      </c>
      <c r="D28" s="26" t="s">
        <v>184</v>
      </c>
      <c r="E28" s="26" t="s">
        <v>185</v>
      </c>
      <c r="F28" s="26" t="s">
        <v>186</v>
      </c>
      <c r="G28" s="26" t="s">
        <v>187</v>
      </c>
      <c r="H28" s="15" t="s">
        <v>98</v>
      </c>
    </row>
    <row r="29" ht="15" customHeight="1">
      <c r="A29" s="75"/>
      <c r="B29" s="76"/>
      <c r="C29" s="100">
        <f>B5</f>
        <v>0</v>
      </c>
      <c r="D29" s="92" t="str">
        <f t="shared" ref="D29:D38" si="2">IFERROR(IF(B29&gt;0,B29/60*C29,""),"")</f>
        <v/>
      </c>
      <c r="E29" s="92" t="str">
        <f>IFERROR(B6-D29,"")</f>
        <v/>
      </c>
      <c r="F29" s="76"/>
      <c r="G29" s="76"/>
      <c r="H29" s="94"/>
    </row>
    <row r="30" ht="15" customHeight="1">
      <c r="A30" s="75"/>
      <c r="B30" s="76"/>
      <c r="C30" s="100">
        <f>B5</f>
        <v>0</v>
      </c>
      <c r="D30" s="92" t="str">
        <f t="shared" si="2"/>
        <v/>
      </c>
      <c r="E30" s="92" t="str">
        <f t="shared" ref="E30:E38" si="3">IFERROR(E29-D30,"")</f>
        <v/>
      </c>
      <c r="F30" s="76"/>
      <c r="G30" s="76"/>
      <c r="H30" s="94"/>
    </row>
    <row r="31" ht="15" customHeight="1">
      <c r="A31" s="75"/>
      <c r="B31" s="76"/>
      <c r="C31" s="100">
        <f>B5</f>
        <v>0</v>
      </c>
      <c r="D31" s="92" t="str">
        <f t="shared" si="2"/>
        <v/>
      </c>
      <c r="E31" s="92" t="str">
        <f t="shared" si="3"/>
        <v/>
      </c>
      <c r="F31" s="76"/>
      <c r="G31" s="76"/>
      <c r="H31" s="94"/>
    </row>
    <row r="32" ht="15" customHeight="1">
      <c r="A32" s="75"/>
      <c r="B32" s="76"/>
      <c r="C32" s="100">
        <f>B5</f>
        <v>0</v>
      </c>
      <c r="D32" s="92" t="str">
        <f t="shared" si="2"/>
        <v/>
      </c>
      <c r="E32" s="92" t="str">
        <f t="shared" si="3"/>
        <v/>
      </c>
      <c r="F32" s="76"/>
      <c r="G32" s="76"/>
      <c r="H32" s="94"/>
    </row>
    <row r="33" ht="15" customHeight="1">
      <c r="A33" s="75"/>
      <c r="B33" s="76"/>
      <c r="C33" s="100">
        <f>B5</f>
        <v>0</v>
      </c>
      <c r="D33" s="92" t="str">
        <f t="shared" si="2"/>
        <v/>
      </c>
      <c r="E33" s="92" t="str">
        <f t="shared" si="3"/>
        <v/>
      </c>
      <c r="F33" s="76"/>
      <c r="G33" s="76"/>
      <c r="H33" s="94"/>
    </row>
    <row r="34" ht="15" customHeight="1">
      <c r="A34" s="75"/>
      <c r="B34" s="76"/>
      <c r="C34" s="100">
        <f>B5</f>
        <v>0</v>
      </c>
      <c r="D34" s="92" t="str">
        <f t="shared" si="2"/>
        <v/>
      </c>
      <c r="E34" s="92" t="str">
        <f t="shared" si="3"/>
        <v/>
      </c>
      <c r="F34" s="76"/>
      <c r="G34" s="76"/>
      <c r="H34" s="94"/>
    </row>
    <row r="35" ht="15" customHeight="1">
      <c r="A35" s="75"/>
      <c r="B35" s="76"/>
      <c r="C35" s="100">
        <f>B5</f>
        <v>0</v>
      </c>
      <c r="D35" s="92" t="str">
        <f t="shared" si="2"/>
        <v/>
      </c>
      <c r="E35" s="92" t="str">
        <f t="shared" si="3"/>
        <v/>
      </c>
      <c r="F35" s="76"/>
      <c r="G35" s="76"/>
      <c r="H35" s="94"/>
    </row>
    <row r="36" ht="15" customHeight="1">
      <c r="A36" s="75"/>
      <c r="B36" s="76"/>
      <c r="C36" s="100">
        <f>B5</f>
        <v>0</v>
      </c>
      <c r="D36" s="92" t="str">
        <f t="shared" si="2"/>
        <v/>
      </c>
      <c r="E36" s="92" t="str">
        <f t="shared" si="3"/>
        <v/>
      </c>
      <c r="F36" s="76"/>
      <c r="G36" s="76"/>
      <c r="H36" s="94"/>
    </row>
    <row r="37" ht="15" customHeight="1">
      <c r="A37" s="75"/>
      <c r="B37" s="76"/>
      <c r="C37" s="100">
        <f>B5</f>
        <v>0</v>
      </c>
      <c r="D37" s="92" t="str">
        <f t="shared" si="2"/>
        <v/>
      </c>
      <c r="E37" s="92" t="str">
        <f t="shared" si="3"/>
        <v/>
      </c>
      <c r="F37" s="76"/>
      <c r="G37" s="76"/>
      <c r="H37" s="94"/>
    </row>
    <row r="38" ht="15" customHeight="1">
      <c r="A38" s="75"/>
      <c r="B38" s="76"/>
      <c r="C38" s="100">
        <f>B5</f>
        <v>0</v>
      </c>
      <c r="D38" s="92" t="str">
        <f t="shared" si="2"/>
        <v/>
      </c>
      <c r="E38" s="92" t="str">
        <f t="shared" si="3"/>
        <v/>
      </c>
      <c r="F38" s="76"/>
      <c r="G38" s="76"/>
      <c r="H38" s="94"/>
    </row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</sheetData>
  <mergeCells count="28">
    <mergeCell ref="A25:C25"/>
    <mergeCell ref="D10:H10"/>
    <mergeCell ref="C22:H22"/>
    <mergeCell ref="A24:H24"/>
    <mergeCell ref="D19:H19"/>
    <mergeCell ref="A1:H1"/>
    <mergeCell ref="C21:H21"/>
    <mergeCell ref="D6:H6"/>
    <mergeCell ref="D11:H11"/>
    <mergeCell ref="C23:H23"/>
    <mergeCell ref="A27:H27"/>
    <mergeCell ref="D17:H17"/>
    <mergeCell ref="A12:H12"/>
    <mergeCell ref="A3:H3"/>
    <mergeCell ref="D7:H7"/>
    <mergeCell ref="A26:H26"/>
    <mergeCell ref="D16:H16"/>
    <mergeCell ref="A2:H2"/>
    <mergeCell ref="D4:H4"/>
    <mergeCell ref="D18:H18"/>
    <mergeCell ref="D9:H9"/>
    <mergeCell ref="D8:H8"/>
    <mergeCell ref="D25:H25"/>
    <mergeCell ref="D15:H15"/>
    <mergeCell ref="D5:H5"/>
    <mergeCell ref="A13:H13"/>
    <mergeCell ref="D14:H14"/>
    <mergeCell ref="C20:H20"/>
  </mergeCells>
  <printOptions headings="0" gridLines="0"/>
  <pageMargins left="0.75" right="0.75" top="1" bottom="1" header="0.5" footer="0.5"/>
  <pageSetup paperSize="1" scale="8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" zoomScale="100" workbookViewId="0">
      <selection activeCell="A1" activeCellId="0" sqref="A1"/>
    </sheetView>
  </sheetViews>
  <sheetFormatPr baseColWidth="8" defaultRowHeight="14.25"/>
  <cols>
    <col customWidth="1" min="1" max="1" width="26"/>
    <col customWidth="1" min="2" max="8" width="14"/>
  </cols>
  <sheetData>
    <row r="1" ht="22" customHeight="1">
      <c r="A1" s="73" t="s">
        <v>188</v>
      </c>
      <c r="B1" s="2"/>
      <c r="C1" s="2"/>
      <c r="D1" s="2"/>
      <c r="E1" s="2"/>
      <c r="F1" s="2"/>
      <c r="G1" s="2"/>
      <c r="H1" s="3"/>
    </row>
    <row r="2" ht="13" customHeight="1">
      <c r="A2" s="74" t="s">
        <v>189</v>
      </c>
      <c r="B2" s="2"/>
      <c r="C2" s="2"/>
      <c r="D2" s="2"/>
      <c r="E2" s="2"/>
      <c r="F2" s="2"/>
      <c r="G2" s="2"/>
      <c r="H2" s="3"/>
    </row>
    <row r="3" ht="14" customHeight="1">
      <c r="A3" s="79" t="s">
        <v>190</v>
      </c>
      <c r="B3" s="2"/>
      <c r="C3" s="2"/>
      <c r="D3" s="2"/>
      <c r="E3" s="2"/>
      <c r="F3" s="2"/>
      <c r="G3" s="2"/>
      <c r="H3" s="3"/>
    </row>
    <row r="4" ht="14" customHeight="1">
      <c r="A4" s="15" t="s">
        <v>140</v>
      </c>
      <c r="B4" s="15" t="s">
        <v>191</v>
      </c>
      <c r="C4" s="15" t="s">
        <v>97</v>
      </c>
      <c r="D4" s="26" t="s">
        <v>192</v>
      </c>
      <c r="E4" s="2"/>
      <c r="F4" s="3"/>
      <c r="G4" s="24" t="s">
        <v>98</v>
      </c>
      <c r="H4" s="3"/>
    </row>
    <row r="5" ht="16" customHeight="1">
      <c r="A5" s="75" t="s">
        <v>193</v>
      </c>
      <c r="B5" s="76"/>
      <c r="C5" s="77" t="s">
        <v>194</v>
      </c>
      <c r="D5" s="6"/>
      <c r="E5" s="2"/>
      <c r="F5" s="3"/>
      <c r="G5" s="78" t="s">
        <v>195</v>
      </c>
      <c r="H5" s="3"/>
    </row>
    <row r="6" ht="16" customHeight="1">
      <c r="A6" s="75" t="s">
        <v>196</v>
      </c>
      <c r="B6" s="90"/>
      <c r="C6" s="77" t="s">
        <v>197</v>
      </c>
      <c r="D6" s="6"/>
      <c r="E6" s="2"/>
      <c r="F6" s="3"/>
      <c r="G6" s="78" t="s">
        <v>198</v>
      </c>
      <c r="H6" s="3"/>
    </row>
    <row r="7" ht="16" customHeight="1">
      <c r="A7" s="75" t="s">
        <v>199</v>
      </c>
      <c r="B7" s="76"/>
      <c r="C7" s="77" t="s">
        <v>200</v>
      </c>
      <c r="D7" s="6"/>
      <c r="E7" s="2"/>
      <c r="F7" s="3"/>
      <c r="G7" s="78" t="s">
        <v>201</v>
      </c>
      <c r="H7" s="3"/>
    </row>
    <row r="8" ht="20" customHeight="1">
      <c r="A8" s="101" t="s">
        <v>202</v>
      </c>
      <c r="B8" s="84"/>
      <c r="C8" s="84"/>
      <c r="D8" s="102">
        <f>IFERROR(B5+(29.92-B6)*1000,"")</f>
        <v>29920</v>
      </c>
      <c r="E8" s="2"/>
      <c r="F8" s="3"/>
      <c r="G8" s="103" t="s">
        <v>203</v>
      </c>
      <c r="H8" s="3"/>
    </row>
    <row r="9" ht="16" customHeight="1">
      <c r="A9" s="101" t="s">
        <v>204</v>
      </c>
      <c r="B9" s="84"/>
      <c r="C9" s="84"/>
      <c r="D9" s="102">
        <f>IFERROR(D8+120*(B7-(15-2*D8/1000)),"")</f>
        <v>35300.800000000003</v>
      </c>
      <c r="E9" s="2"/>
      <c r="F9" s="3"/>
      <c r="G9" s="103" t="s">
        <v>205</v>
      </c>
      <c r="H9" s="3"/>
    </row>
    <row r="10" ht="20.5" customHeight="1">
      <c r="A10" s="75" t="s">
        <v>206</v>
      </c>
      <c r="B10" s="84"/>
      <c r="C10" s="84"/>
      <c r="D10" s="104">
        <f>IFERROR(15-2*D8/1000,"")</f>
        <v>-44.840000000000003</v>
      </c>
      <c r="E10" s="2"/>
      <c r="F10" s="3"/>
      <c r="G10" s="78" t="s">
        <v>207</v>
      </c>
      <c r="H10" s="3"/>
    </row>
    <row r="11" ht="10" customHeight="1">
      <c r="A11" s="6"/>
      <c r="B11" s="2"/>
      <c r="C11" s="2"/>
      <c r="D11" s="2"/>
      <c r="E11" s="2"/>
      <c r="F11" s="2"/>
      <c r="G11" s="2"/>
      <c r="H11" s="3"/>
    </row>
    <row r="12" ht="14" customHeight="1">
      <c r="A12" s="79" t="s">
        <v>208</v>
      </c>
      <c r="B12" s="2"/>
      <c r="C12" s="2"/>
      <c r="D12" s="2"/>
      <c r="E12" s="2"/>
      <c r="F12" s="2"/>
      <c r="G12" s="2"/>
      <c r="H12" s="3"/>
    </row>
    <row r="13" ht="14" customHeight="1">
      <c r="A13" s="15" t="s">
        <v>140</v>
      </c>
      <c r="B13" s="15" t="s">
        <v>191</v>
      </c>
      <c r="C13" s="15" t="s">
        <v>97</v>
      </c>
      <c r="D13" s="26" t="s">
        <v>192</v>
      </c>
      <c r="E13" s="2"/>
      <c r="F13" s="3"/>
      <c r="G13" s="24" t="s">
        <v>98</v>
      </c>
      <c r="H13" s="3"/>
    </row>
    <row r="14" ht="16" customHeight="1">
      <c r="A14" s="75" t="s">
        <v>209</v>
      </c>
      <c r="B14" s="105"/>
      <c r="C14" s="77" t="s">
        <v>210</v>
      </c>
      <c r="D14" s="6"/>
      <c r="E14" s="2"/>
      <c r="F14" s="3"/>
      <c r="G14" s="78" t="s">
        <v>211</v>
      </c>
      <c r="H14" s="3"/>
    </row>
    <row r="15" ht="16" customHeight="1">
      <c r="A15" s="75" t="s">
        <v>212</v>
      </c>
      <c r="B15" s="105"/>
      <c r="C15" s="77" t="s">
        <v>213</v>
      </c>
      <c r="D15" s="6"/>
      <c r="E15" s="2"/>
      <c r="F15" s="3"/>
      <c r="G15" s="78" t="s">
        <v>214</v>
      </c>
      <c r="H15" s="3"/>
    </row>
    <row r="16" ht="16" customHeight="1">
      <c r="A16" s="75" t="s">
        <v>215</v>
      </c>
      <c r="B16" s="105"/>
      <c r="C16" s="77" t="s">
        <v>148</v>
      </c>
      <c r="D16" s="6"/>
      <c r="E16" s="2"/>
      <c r="F16" s="3"/>
      <c r="G16" s="78" t="s">
        <v>216</v>
      </c>
      <c r="H16" s="3"/>
    </row>
    <row r="17" ht="16" customHeight="1">
      <c r="A17" s="101" t="s">
        <v>217</v>
      </c>
      <c r="B17" s="84"/>
      <c r="C17" s="84"/>
      <c r="D17" s="106">
        <f>IFERROR(ROUND(B16*COS(RADIANS(B15-B14)),1),"")</f>
        <v>0</v>
      </c>
      <c r="E17" s="107"/>
      <c r="F17" s="3"/>
      <c r="G17" s="78" t="s">
        <v>218</v>
      </c>
      <c r="H17" s="3"/>
    </row>
    <row r="18" ht="16" customHeight="1">
      <c r="A18" s="101" t="s">
        <v>219</v>
      </c>
      <c r="B18" s="84"/>
      <c r="C18" s="84"/>
      <c r="D18" s="106">
        <f>IFERROR(ROUND(ABS(B16*SIN(RADIANS(B15-B14))),1),"")</f>
        <v>0</v>
      </c>
      <c r="E18" s="107"/>
      <c r="F18" s="3"/>
      <c r="G18" s="78" t="s">
        <v>220</v>
      </c>
      <c r="H18" s="3"/>
    </row>
    <row r="19" ht="10" customHeight="1">
      <c r="A19" s="6"/>
      <c r="B19" s="2"/>
      <c r="C19" s="2"/>
      <c r="D19" s="2"/>
      <c r="E19" s="2"/>
      <c r="F19" s="2"/>
      <c r="G19" s="2"/>
      <c r="H19" s="3"/>
    </row>
    <row r="20" ht="14" customHeight="1">
      <c r="A20" s="79" t="s">
        <v>221</v>
      </c>
      <c r="B20" s="2"/>
      <c r="C20" s="2"/>
      <c r="D20" s="2"/>
      <c r="E20" s="2"/>
      <c r="F20" s="2"/>
      <c r="G20" s="2"/>
      <c r="H20" s="3"/>
    </row>
    <row r="21" ht="14" customHeight="1">
      <c r="A21" s="26" t="s">
        <v>222</v>
      </c>
      <c r="B21" s="15" t="s">
        <v>223</v>
      </c>
      <c r="C21" s="24" t="s">
        <v>224</v>
      </c>
      <c r="D21" s="2"/>
      <c r="E21" s="3"/>
      <c r="F21" s="24" t="s">
        <v>98</v>
      </c>
      <c r="G21" s="2"/>
      <c r="H21" s="3"/>
    </row>
    <row r="22" ht="15" customHeight="1">
      <c r="A22" s="101" t="s">
        <v>225</v>
      </c>
      <c r="B22" s="108"/>
      <c r="C22" s="109" t="s">
        <v>226</v>
      </c>
      <c r="D22" s="2"/>
      <c r="E22" s="3"/>
      <c r="F22" s="110"/>
      <c r="G22" s="2"/>
      <c r="H22" s="3"/>
    </row>
    <row r="23" ht="15" customHeight="1">
      <c r="A23" s="101" t="s">
        <v>227</v>
      </c>
      <c r="B23" s="108"/>
      <c r="C23" s="109" t="s">
        <v>228</v>
      </c>
      <c r="D23" s="2"/>
      <c r="E23" s="3"/>
      <c r="F23" s="110"/>
      <c r="G23" s="2"/>
      <c r="H23" s="3"/>
    </row>
    <row r="24" ht="15" customHeight="1">
      <c r="A24" s="101" t="s">
        <v>229</v>
      </c>
      <c r="B24" s="108"/>
      <c r="C24" s="109" t="s">
        <v>230</v>
      </c>
      <c r="D24" s="2"/>
      <c r="E24" s="3"/>
      <c r="F24" s="110"/>
      <c r="G24" s="2"/>
      <c r="H24" s="3"/>
    </row>
    <row r="25" ht="15" customHeight="1">
      <c r="A25" s="101" t="s">
        <v>231</v>
      </c>
      <c r="B25" s="108"/>
      <c r="C25" s="109" t="s">
        <v>232</v>
      </c>
      <c r="D25" s="2"/>
      <c r="E25" s="3"/>
      <c r="F25" s="110"/>
      <c r="G25" s="2"/>
      <c r="H25" s="3"/>
    </row>
    <row r="26" ht="15" customHeight="1">
      <c r="A26" s="101" t="s">
        <v>233</v>
      </c>
      <c r="B26" s="108"/>
      <c r="C26" s="109" t="s">
        <v>234</v>
      </c>
      <c r="D26" s="2"/>
      <c r="E26" s="3"/>
      <c r="F26" s="110"/>
      <c r="G26" s="2"/>
      <c r="H26" s="3"/>
    </row>
    <row r="27" ht="15" customHeight="1">
      <c r="A27" s="101" t="s">
        <v>235</v>
      </c>
      <c r="B27" s="108"/>
      <c r="C27" s="109" t="s">
        <v>236</v>
      </c>
      <c r="D27" s="2"/>
      <c r="E27" s="3"/>
      <c r="F27" s="110"/>
      <c r="G27" s="2"/>
      <c r="H27" s="3"/>
    </row>
    <row r="28" ht="15" customHeight="1">
      <c r="A28" s="101" t="s">
        <v>237</v>
      </c>
      <c r="B28" s="108"/>
      <c r="C28" s="109" t="s">
        <v>238</v>
      </c>
      <c r="D28" s="2"/>
      <c r="E28" s="3"/>
      <c r="F28" s="110"/>
      <c r="G28" s="2"/>
      <c r="H28" s="3"/>
    </row>
    <row r="29" ht="15" customHeight="1">
      <c r="A29" s="101" t="s">
        <v>239</v>
      </c>
      <c r="B29" s="108"/>
      <c r="C29" s="109" t="s">
        <v>240</v>
      </c>
      <c r="D29" s="2"/>
      <c r="E29" s="3"/>
      <c r="F29" s="110"/>
      <c r="G29" s="2"/>
      <c r="H29" s="3"/>
    </row>
    <row r="30" ht="15" customHeight="1">
      <c r="A30" s="101" t="s">
        <v>241</v>
      </c>
      <c r="B30" s="108"/>
      <c r="C30" s="109" t="s">
        <v>242</v>
      </c>
      <c r="D30" s="2"/>
      <c r="E30" s="3"/>
      <c r="F30" s="110"/>
      <c r="G30" s="2"/>
      <c r="H30" s="3"/>
    </row>
    <row r="31" ht="10" customHeight="1">
      <c r="A31" s="6"/>
      <c r="B31" s="2"/>
      <c r="C31" s="2"/>
      <c r="D31" s="2"/>
      <c r="E31" s="2"/>
      <c r="F31" s="2"/>
      <c r="G31" s="2"/>
      <c r="H31" s="3"/>
    </row>
    <row r="32" ht="14" customHeight="1">
      <c r="A32" s="79" t="s">
        <v>243</v>
      </c>
      <c r="B32" s="2"/>
      <c r="C32" s="2"/>
      <c r="D32" s="2"/>
      <c r="E32" s="2"/>
      <c r="F32" s="2"/>
      <c r="G32" s="2"/>
      <c r="H32" s="3"/>
    </row>
    <row r="33" ht="14" customHeight="1">
      <c r="A33" s="26" t="s">
        <v>80</v>
      </c>
      <c r="B33" s="2"/>
      <c r="C33" s="3"/>
      <c r="D33" s="26" t="s">
        <v>244</v>
      </c>
      <c r="E33" s="15" t="s">
        <v>245</v>
      </c>
      <c r="F33" s="15" t="s">
        <v>246</v>
      </c>
      <c r="G33" s="24" t="s">
        <v>247</v>
      </c>
      <c r="H33" s="3"/>
    </row>
    <row r="34" ht="22" customHeight="1">
      <c r="A34" s="111"/>
      <c r="B34" s="2"/>
      <c r="C34" s="3"/>
      <c r="D34" s="112"/>
      <c r="E34" s="113"/>
      <c r="F34" s="114"/>
      <c r="G34" s="115"/>
      <c r="H34" s="3"/>
    </row>
    <row r="35" ht="22" customHeight="1">
      <c r="A35" s="111"/>
      <c r="B35" s="2"/>
      <c r="C35" s="3"/>
      <c r="D35" s="112"/>
      <c r="E35" s="113"/>
      <c r="F35" s="114"/>
      <c r="G35" s="115"/>
      <c r="H35" s="3"/>
    </row>
    <row r="36" ht="10" customHeight="1">
      <c r="A36" s="6"/>
      <c r="B36" s="2"/>
      <c r="C36" s="2"/>
      <c r="D36" s="2"/>
      <c r="E36" s="2"/>
      <c r="F36" s="2"/>
      <c r="G36" s="2"/>
      <c r="H36" s="3"/>
    </row>
    <row r="37" ht="14" customHeight="1">
      <c r="A37" s="79" t="s">
        <v>248</v>
      </c>
      <c r="B37" s="2"/>
      <c r="C37" s="2"/>
      <c r="D37" s="2"/>
      <c r="E37" s="2"/>
      <c r="F37" s="2"/>
      <c r="G37" s="2"/>
      <c r="H37" s="3"/>
    </row>
    <row r="38" ht="14" customHeight="1">
      <c r="A38" s="26" t="s">
        <v>80</v>
      </c>
      <c r="B38" s="2"/>
      <c r="C38" s="3"/>
      <c r="D38" s="26" t="s">
        <v>244</v>
      </c>
      <c r="E38" s="15" t="s">
        <v>245</v>
      </c>
      <c r="F38" s="15" t="s">
        <v>246</v>
      </c>
      <c r="G38" s="24" t="s">
        <v>247</v>
      </c>
      <c r="H38" s="3"/>
    </row>
    <row r="39" ht="22" customHeight="1">
      <c r="A39" s="111"/>
      <c r="B39" s="2"/>
      <c r="C39" s="3"/>
      <c r="D39" s="112"/>
      <c r="E39" s="113"/>
      <c r="F39" s="114"/>
      <c r="G39" s="115"/>
      <c r="H39" s="3"/>
    </row>
    <row r="40" ht="22" customHeight="1">
      <c r="A40" s="111"/>
      <c r="B40" s="2"/>
      <c r="C40" s="3"/>
      <c r="D40" s="112"/>
      <c r="E40" s="113"/>
      <c r="F40" s="114"/>
      <c r="G40" s="115"/>
      <c r="H40" s="3"/>
    </row>
    <row r="41" ht="10" customHeight="1">
      <c r="A41" s="6"/>
      <c r="B41" s="2"/>
      <c r="C41" s="2"/>
      <c r="D41" s="2"/>
      <c r="E41" s="2"/>
      <c r="F41" s="2"/>
      <c r="G41" s="2"/>
      <c r="H41" s="3"/>
    </row>
    <row r="42" ht="14" customHeight="1">
      <c r="A42" s="79" t="s">
        <v>249</v>
      </c>
      <c r="B42" s="2"/>
      <c r="C42" s="2"/>
      <c r="D42" s="2"/>
      <c r="E42" s="2"/>
      <c r="F42" s="2"/>
      <c r="G42" s="2"/>
      <c r="H42" s="3"/>
    </row>
    <row r="43" ht="14" customHeight="1">
      <c r="A43" s="15" t="s">
        <v>116</v>
      </c>
      <c r="B43" s="15" t="s">
        <v>96</v>
      </c>
      <c r="C43" s="15" t="s">
        <v>97</v>
      </c>
      <c r="D43" s="24" t="s">
        <v>98</v>
      </c>
      <c r="E43" s="2"/>
      <c r="F43" s="2"/>
      <c r="G43" s="2"/>
      <c r="H43" s="3"/>
    </row>
    <row r="44" ht="15" customHeight="1">
      <c r="A44" s="75" t="s">
        <v>250</v>
      </c>
      <c r="B44" s="105"/>
      <c r="C44" s="77" t="s">
        <v>223</v>
      </c>
      <c r="D44" s="78" t="s">
        <v>251</v>
      </c>
      <c r="E44" s="2"/>
      <c r="F44" s="2"/>
      <c r="G44" s="2"/>
      <c r="H44" s="3"/>
    </row>
    <row r="45" ht="15" customHeight="1">
      <c r="A45" s="75" t="s">
        <v>252</v>
      </c>
      <c r="B45" s="105"/>
      <c r="C45" s="77" t="s">
        <v>223</v>
      </c>
      <c r="D45" s="78" t="s">
        <v>253</v>
      </c>
      <c r="E45" s="2"/>
      <c r="F45" s="2"/>
      <c r="G45" s="2"/>
      <c r="H45" s="3"/>
    </row>
    <row r="46" ht="15" customHeight="1">
      <c r="A46" s="75" t="s">
        <v>254</v>
      </c>
      <c r="B46" s="105"/>
      <c r="C46" s="77" t="s">
        <v>255</v>
      </c>
      <c r="D46" s="78" t="s">
        <v>256</v>
      </c>
      <c r="E46" s="2"/>
      <c r="F46" s="2"/>
      <c r="G46" s="2"/>
      <c r="H46" s="3"/>
    </row>
    <row r="47" ht="15" customHeight="1">
      <c r="A47" s="75" t="s">
        <v>257</v>
      </c>
      <c r="B47" s="105"/>
      <c r="C47" s="77" t="s">
        <v>258</v>
      </c>
      <c r="D47" s="78" t="s">
        <v>259</v>
      </c>
      <c r="E47" s="2"/>
      <c r="F47" s="2"/>
      <c r="G47" s="2"/>
      <c r="H47" s="3"/>
    </row>
    <row r="48" ht="15" customHeight="1">
      <c r="A48" s="75" t="s">
        <v>260</v>
      </c>
      <c r="B48" s="105"/>
      <c r="C48" s="77" t="s">
        <v>103</v>
      </c>
      <c r="D48" s="78" t="s">
        <v>261</v>
      </c>
      <c r="E48" s="2"/>
      <c r="F48" s="2"/>
      <c r="G48" s="2"/>
      <c r="H48" s="3"/>
    </row>
    <row r="49" ht="10" customHeight="1">
      <c r="A49" s="6"/>
      <c r="B49" s="2"/>
      <c r="C49" s="2"/>
      <c r="D49" s="2"/>
      <c r="E49" s="2"/>
      <c r="F49" s="2"/>
      <c r="G49" s="2"/>
      <c r="H49" s="3"/>
    </row>
    <row r="50" ht="14" customHeight="1">
      <c r="A50" s="79" t="s">
        <v>262</v>
      </c>
      <c r="B50" s="2"/>
      <c r="C50" s="2"/>
      <c r="D50" s="2"/>
      <c r="E50" s="2"/>
      <c r="F50" s="2"/>
      <c r="G50" s="2"/>
      <c r="H50" s="3"/>
    </row>
    <row r="51" ht="14" customHeight="1">
      <c r="A51" s="15" t="s">
        <v>116</v>
      </c>
      <c r="B51" s="15" t="s">
        <v>96</v>
      </c>
      <c r="C51" s="15" t="s">
        <v>97</v>
      </c>
      <c r="D51" s="24" t="s">
        <v>98</v>
      </c>
      <c r="E51" s="2"/>
      <c r="F51" s="2"/>
      <c r="G51" s="2"/>
      <c r="H51" s="3"/>
    </row>
    <row r="52" ht="15" customHeight="1">
      <c r="A52" s="75" t="s">
        <v>263</v>
      </c>
      <c r="B52" s="105"/>
      <c r="C52" s="77" t="s">
        <v>194</v>
      </c>
      <c r="D52" s="78" t="s">
        <v>264</v>
      </c>
      <c r="E52" s="2"/>
      <c r="F52" s="2"/>
      <c r="G52" s="2"/>
      <c r="H52" s="3"/>
    </row>
    <row r="53" ht="15" customHeight="1">
      <c r="A53" s="75" t="s">
        <v>265</v>
      </c>
      <c r="B53" s="105"/>
      <c r="C53" s="77" t="s">
        <v>266</v>
      </c>
      <c r="D53" s="78" t="s">
        <v>267</v>
      </c>
      <c r="E53" s="2"/>
      <c r="F53" s="2"/>
      <c r="G53" s="2"/>
      <c r="H53" s="3"/>
    </row>
    <row r="54" ht="15" customHeight="1">
      <c r="A54" s="75" t="s">
        <v>268</v>
      </c>
      <c r="B54" s="105"/>
      <c r="C54" s="77"/>
      <c r="D54" s="78" t="s">
        <v>267</v>
      </c>
      <c r="E54" s="2"/>
      <c r="F54" s="2"/>
      <c r="G54" s="2"/>
      <c r="H54" s="3"/>
    </row>
    <row r="55" ht="15" customHeight="1">
      <c r="A55" s="75" t="s">
        <v>269</v>
      </c>
      <c r="B55" s="105"/>
      <c r="C55" s="77" t="s">
        <v>148</v>
      </c>
      <c r="D55" s="78" t="s">
        <v>270</v>
      </c>
      <c r="E55" s="2"/>
      <c r="F55" s="2"/>
      <c r="G55" s="2"/>
      <c r="H55" s="3"/>
    </row>
    <row r="56" ht="15" customHeight="1">
      <c r="A56" s="75" t="s">
        <v>271</v>
      </c>
      <c r="B56" s="105"/>
      <c r="C56" s="77" t="s">
        <v>143</v>
      </c>
      <c r="D56" s="78" t="s">
        <v>272</v>
      </c>
      <c r="E56" s="2"/>
      <c r="F56" s="2"/>
      <c r="G56" s="2"/>
      <c r="H56" s="3"/>
    </row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</sheetData>
  <mergeCells count="85">
    <mergeCell ref="A1:H1"/>
    <mergeCell ref="A2:H2"/>
    <mergeCell ref="A3:H3"/>
    <mergeCell ref="D4:F4"/>
    <mergeCell ref="G4:H4"/>
    <mergeCell ref="D5:F5"/>
    <mergeCell ref="G5:H5"/>
    <mergeCell ref="D6:F6"/>
    <mergeCell ref="G6:H6"/>
    <mergeCell ref="D7:F7"/>
    <mergeCell ref="G7:H7"/>
    <mergeCell ref="D8:F8"/>
    <mergeCell ref="G8:H8"/>
    <mergeCell ref="D9:F9"/>
    <mergeCell ref="G9:H9"/>
    <mergeCell ref="D10:F10"/>
    <mergeCell ref="G10:H10"/>
    <mergeCell ref="A11:H11"/>
    <mergeCell ref="A12:H12"/>
    <mergeCell ref="D13:F13"/>
    <mergeCell ref="G13:H13"/>
    <mergeCell ref="D14:F14"/>
    <mergeCell ref="G14:H14"/>
    <mergeCell ref="D15:F15"/>
    <mergeCell ref="G15:H15"/>
    <mergeCell ref="D16:F16"/>
    <mergeCell ref="G16:H16"/>
    <mergeCell ref="E17:F17"/>
    <mergeCell ref="G17:H17"/>
    <mergeCell ref="E18:F18"/>
    <mergeCell ref="G18:H18"/>
    <mergeCell ref="A19:H19"/>
    <mergeCell ref="A20:H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  <mergeCell ref="C30:E30"/>
    <mergeCell ref="F30:H30"/>
    <mergeCell ref="A31:H31"/>
    <mergeCell ref="A32:H32"/>
    <mergeCell ref="A33:C33"/>
    <mergeCell ref="G33:H33"/>
    <mergeCell ref="A34:C34"/>
    <mergeCell ref="G34:H34"/>
    <mergeCell ref="A35:C35"/>
    <mergeCell ref="G35:H35"/>
    <mergeCell ref="A36:H36"/>
    <mergeCell ref="A37:H37"/>
    <mergeCell ref="A38:C38"/>
    <mergeCell ref="G38:H38"/>
    <mergeCell ref="A39:C39"/>
    <mergeCell ref="G39:H39"/>
    <mergeCell ref="A40:C40"/>
    <mergeCell ref="G40:H40"/>
    <mergeCell ref="A41:H41"/>
    <mergeCell ref="A42:H42"/>
    <mergeCell ref="D43:H43"/>
    <mergeCell ref="D44:H44"/>
    <mergeCell ref="D45:H45"/>
    <mergeCell ref="D46:H46"/>
    <mergeCell ref="D47:H47"/>
    <mergeCell ref="D48:H48"/>
    <mergeCell ref="A49:H49"/>
    <mergeCell ref="A50:H50"/>
    <mergeCell ref="D51:H51"/>
    <mergeCell ref="D52:H52"/>
    <mergeCell ref="D53:H53"/>
    <mergeCell ref="D54:H54"/>
    <mergeCell ref="D55:H55"/>
    <mergeCell ref="D56:H56"/>
  </mergeCells>
  <printOptions headings="0" gridLines="0"/>
  <pageMargins left="0.75" right="0.75" top="1" bottom="1" header="0.5" footer="0.5"/>
  <pageSetup paperSize="1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5"/>
    <col customWidth="1" min="2" max="2" width="28"/>
    <col customWidth="1" min="3" max="8" width="18"/>
  </cols>
  <sheetData>
    <row r="1" ht="22" customHeight="1">
      <c r="A1" s="73" t="s">
        <v>273</v>
      </c>
      <c r="B1" s="2"/>
      <c r="C1" s="2"/>
      <c r="D1" s="2"/>
      <c r="E1" s="2"/>
      <c r="F1" s="2"/>
      <c r="G1" s="2"/>
      <c r="H1" s="3"/>
    </row>
    <row r="2" ht="13" customHeight="1">
      <c r="A2" s="74" t="s">
        <v>274</v>
      </c>
      <c r="B2" s="2"/>
      <c r="C2" s="2"/>
      <c r="D2" s="2"/>
      <c r="E2" s="2"/>
      <c r="F2" s="2"/>
      <c r="G2" s="2"/>
      <c r="H2" s="3"/>
    </row>
    <row r="3" ht="15" customHeight="1">
      <c r="A3" s="82" t="s">
        <v>275</v>
      </c>
      <c r="B3" s="2"/>
      <c r="C3" s="2"/>
      <c r="D3" s="2"/>
      <c r="E3" s="2"/>
      <c r="F3" s="2"/>
      <c r="G3" s="2"/>
      <c r="H3" s="3"/>
    </row>
    <row r="4" ht="13" customHeight="1">
      <c r="A4" s="78" t="s">
        <v>276</v>
      </c>
      <c r="B4" s="2"/>
      <c r="C4" s="2"/>
      <c r="D4" s="2"/>
      <c r="E4" s="2"/>
      <c r="F4" s="2"/>
      <c r="G4" s="2"/>
      <c r="H4" s="3"/>
    </row>
    <row r="5" ht="16" customHeight="1">
      <c r="A5" s="116"/>
      <c r="B5" s="75" t="s">
        <v>277</v>
      </c>
      <c r="C5" s="2"/>
      <c r="D5" s="3"/>
      <c r="E5" s="78" t="s">
        <v>278</v>
      </c>
      <c r="F5" s="2"/>
      <c r="G5" s="2"/>
      <c r="H5" s="3"/>
    </row>
    <row r="6" ht="16" customHeight="1">
      <c r="A6" s="116"/>
      <c r="B6" s="75" t="s">
        <v>279</v>
      </c>
      <c r="C6" s="2"/>
      <c r="D6" s="3"/>
      <c r="E6" s="78" t="s">
        <v>280</v>
      </c>
      <c r="F6" s="2"/>
      <c r="G6" s="2"/>
      <c r="H6" s="3"/>
    </row>
    <row r="7" ht="16" customHeight="1">
      <c r="A7" s="116"/>
      <c r="B7" s="75" t="s">
        <v>281</v>
      </c>
      <c r="C7" s="2"/>
      <c r="D7" s="3"/>
      <c r="E7" s="78" t="s">
        <v>282</v>
      </c>
      <c r="F7" s="2"/>
      <c r="G7" s="2"/>
      <c r="H7" s="3"/>
    </row>
    <row r="8" ht="16" customHeight="1">
      <c r="A8" s="116"/>
      <c r="B8" s="75" t="s">
        <v>283</v>
      </c>
      <c r="C8" s="2"/>
      <c r="D8" s="3"/>
      <c r="E8" s="78" t="s">
        <v>284</v>
      </c>
      <c r="F8" s="2"/>
      <c r="G8" s="2"/>
      <c r="H8" s="3"/>
    </row>
    <row r="9" ht="16" customHeight="1">
      <c r="A9" s="116"/>
      <c r="B9" s="75" t="s">
        <v>285</v>
      </c>
      <c r="C9" s="2"/>
      <c r="D9" s="3"/>
      <c r="E9" s="78" t="s">
        <v>286</v>
      </c>
      <c r="F9" s="2"/>
      <c r="G9" s="2"/>
      <c r="H9" s="3"/>
    </row>
    <row r="10" ht="16" customHeight="1">
      <c r="A10" s="116"/>
      <c r="B10" s="75" t="s">
        <v>287</v>
      </c>
      <c r="C10" s="2"/>
      <c r="D10" s="3"/>
      <c r="E10" s="78" t="s">
        <v>288</v>
      </c>
      <c r="F10" s="2"/>
      <c r="G10" s="2"/>
      <c r="H10" s="3"/>
    </row>
    <row r="11" ht="10" customHeight="1">
      <c r="A11" s="88"/>
      <c r="B11" s="2"/>
      <c r="C11" s="2"/>
      <c r="D11" s="2"/>
      <c r="E11" s="2"/>
      <c r="F11" s="2"/>
      <c r="G11" s="2"/>
      <c r="H11" s="3"/>
    </row>
    <row r="12" ht="15" customHeight="1">
      <c r="A12" s="82" t="s">
        <v>289</v>
      </c>
      <c r="B12" s="2"/>
      <c r="C12" s="2"/>
      <c r="D12" s="2"/>
      <c r="E12" s="2"/>
      <c r="F12" s="2"/>
      <c r="G12" s="2"/>
      <c r="H12" s="3"/>
    </row>
    <row r="13" ht="13" customHeight="1">
      <c r="A13" s="78" t="s">
        <v>290</v>
      </c>
      <c r="B13" s="2"/>
      <c r="C13" s="2"/>
      <c r="D13" s="2"/>
      <c r="E13" s="2"/>
      <c r="F13" s="2"/>
      <c r="G13" s="2"/>
      <c r="H13" s="3"/>
    </row>
    <row r="14" ht="16" customHeight="1">
      <c r="A14" s="116"/>
      <c r="B14" s="75" t="s">
        <v>291</v>
      </c>
      <c r="C14" s="2"/>
      <c r="D14" s="3"/>
      <c r="E14" s="78" t="s">
        <v>292</v>
      </c>
      <c r="F14" s="2"/>
      <c r="G14" s="2"/>
      <c r="H14" s="3"/>
    </row>
    <row r="15" ht="16" customHeight="1">
      <c r="A15" s="116"/>
      <c r="B15" s="75" t="s">
        <v>293</v>
      </c>
      <c r="C15" s="2"/>
      <c r="D15" s="3"/>
      <c r="E15" s="78" t="s">
        <v>294</v>
      </c>
      <c r="F15" s="2"/>
      <c r="G15" s="2"/>
      <c r="H15" s="3"/>
    </row>
    <row r="16" ht="16" customHeight="1">
      <c r="A16" s="116"/>
      <c r="B16" s="75" t="s">
        <v>295</v>
      </c>
      <c r="C16" s="2"/>
      <c r="D16" s="3"/>
      <c r="E16" s="78" t="s">
        <v>296</v>
      </c>
      <c r="F16" s="2"/>
      <c r="G16" s="2"/>
      <c r="H16" s="3"/>
    </row>
    <row r="17" ht="16" customHeight="1">
      <c r="A17" s="116"/>
      <c r="B17" s="75" t="s">
        <v>297</v>
      </c>
      <c r="C17" s="2"/>
      <c r="D17" s="3"/>
      <c r="E17" s="78" t="s">
        <v>298</v>
      </c>
      <c r="F17" s="2"/>
      <c r="G17" s="2"/>
      <c r="H17" s="3"/>
    </row>
    <row r="18" ht="16" customHeight="1">
      <c r="A18" s="116"/>
      <c r="B18" s="75" t="s">
        <v>299</v>
      </c>
      <c r="C18" s="2"/>
      <c r="D18" s="3"/>
      <c r="E18" s="78" t="s">
        <v>300</v>
      </c>
      <c r="F18" s="2"/>
      <c r="G18" s="2"/>
      <c r="H18" s="3"/>
    </row>
    <row r="19" ht="10" customHeight="1">
      <c r="A19" s="88"/>
      <c r="B19" s="2"/>
      <c r="C19" s="2"/>
      <c r="D19" s="2"/>
      <c r="E19" s="2"/>
      <c r="F19" s="2"/>
      <c r="G19" s="2"/>
      <c r="H19" s="3"/>
    </row>
    <row r="20" ht="15" customHeight="1">
      <c r="A20" s="82" t="s">
        <v>301</v>
      </c>
      <c r="B20" s="2"/>
      <c r="C20" s="2"/>
      <c r="D20" s="2"/>
      <c r="E20" s="2"/>
      <c r="F20" s="2"/>
      <c r="G20" s="2"/>
      <c r="H20" s="3"/>
    </row>
    <row r="21" ht="16" customHeight="1">
      <c r="A21" s="116"/>
      <c r="B21" s="75" t="s">
        <v>302</v>
      </c>
      <c r="C21" s="12" t="s">
        <v>303</v>
      </c>
      <c r="D21" s="117"/>
      <c r="E21" s="12" t="s">
        <v>304</v>
      </c>
      <c r="F21" s="87" t="str">
        <f ca="1">IFERROR(IF(D21="","Enter date",IF(TODAY()-D21&lt;=720,"✓ CURRENT","✗ EXPIRED")),"?")</f>
        <v xml:space="preserve">Enter date</v>
      </c>
      <c r="G21" s="2"/>
      <c r="H21" s="3"/>
    </row>
    <row r="22" ht="22" customHeight="1">
      <c r="A22" s="116"/>
      <c r="B22" s="75" t="s">
        <v>305</v>
      </c>
      <c r="C22" s="12" t="s">
        <v>303</v>
      </c>
      <c r="D22" s="117"/>
      <c r="E22" s="12" t="s">
        <v>304</v>
      </c>
      <c r="F22" s="87" t="str">
        <f t="shared" ref="F22:F23" ca="1" si="4">IFERROR(IF(D22="","Enter date",IF(TODAY()-D22&lt;=90,"✓ CURRENT","✗ EXPIRED")),"?")</f>
        <v xml:space="preserve">Enter date</v>
      </c>
      <c r="G22" s="2"/>
      <c r="H22" s="3"/>
    </row>
    <row r="23" ht="28" customHeight="1">
      <c r="A23" s="116"/>
      <c r="B23" s="75" t="s">
        <v>306</v>
      </c>
      <c r="C23" s="12" t="s">
        <v>303</v>
      </c>
      <c r="D23" s="117"/>
      <c r="E23" s="12" t="s">
        <v>304</v>
      </c>
      <c r="F23" s="87" t="str">
        <f t="shared" ca="1" si="4"/>
        <v xml:space="preserve">Enter date</v>
      </c>
      <c r="G23" s="2"/>
      <c r="H23" s="3"/>
    </row>
    <row r="24" ht="10" customHeight="1">
      <c r="A24" s="88"/>
      <c r="B24" s="2"/>
      <c r="C24" s="2"/>
      <c r="D24" s="2"/>
      <c r="E24" s="2"/>
      <c r="F24" s="2"/>
      <c r="G24" s="2"/>
      <c r="H24" s="3"/>
    </row>
    <row r="25" ht="15" customHeight="1">
      <c r="A25" s="82" t="s">
        <v>307</v>
      </c>
      <c r="B25" s="2"/>
      <c r="C25" s="2"/>
      <c r="D25" s="2"/>
      <c r="E25" s="2"/>
      <c r="F25" s="2"/>
      <c r="G25" s="2"/>
      <c r="H25" s="3"/>
    </row>
    <row r="26" ht="16" customHeight="1">
      <c r="A26" s="116"/>
      <c r="B26" s="75" t="s">
        <v>308</v>
      </c>
      <c r="C26" s="2"/>
      <c r="D26" s="3"/>
      <c r="E26" s="78" t="s">
        <v>309</v>
      </c>
      <c r="F26" s="2"/>
      <c r="G26" s="2"/>
      <c r="H26" s="3"/>
    </row>
    <row r="27" ht="16" customHeight="1">
      <c r="A27" s="116"/>
      <c r="B27" s="75" t="s">
        <v>310</v>
      </c>
      <c r="C27" s="2"/>
      <c r="D27" s="3"/>
      <c r="E27" s="78" t="s">
        <v>311</v>
      </c>
      <c r="F27" s="2"/>
      <c r="G27" s="2"/>
      <c r="H27" s="3"/>
    </row>
    <row r="28" ht="16" customHeight="1">
      <c r="A28" s="116"/>
      <c r="B28" s="75" t="s">
        <v>312</v>
      </c>
      <c r="C28" s="2"/>
      <c r="D28" s="3"/>
      <c r="E28" s="78" t="s">
        <v>313</v>
      </c>
      <c r="F28" s="2"/>
      <c r="G28" s="2"/>
      <c r="H28" s="3"/>
    </row>
    <row r="29" ht="16" customHeight="1">
      <c r="A29" s="116"/>
      <c r="B29" s="75" t="s">
        <v>314</v>
      </c>
      <c r="C29" s="2"/>
      <c r="D29" s="3"/>
      <c r="E29" s="78" t="s">
        <v>315</v>
      </c>
      <c r="F29" s="2"/>
      <c r="G29" s="2"/>
      <c r="H29" s="3"/>
    </row>
    <row r="30" ht="10" customHeight="1">
      <c r="A30" s="88"/>
      <c r="B30" s="2"/>
      <c r="C30" s="2"/>
      <c r="D30" s="2"/>
      <c r="E30" s="2"/>
      <c r="F30" s="2"/>
      <c r="G30" s="2"/>
      <c r="H30" s="3"/>
    </row>
    <row r="31" ht="15" customHeight="1">
      <c r="A31" s="82" t="s">
        <v>15</v>
      </c>
      <c r="B31" s="2"/>
      <c r="C31" s="2"/>
      <c r="D31" s="2"/>
      <c r="E31" s="2"/>
      <c r="F31" s="2"/>
      <c r="G31" s="2"/>
      <c r="H31" s="3"/>
    </row>
    <row r="32" ht="16" customHeight="1">
      <c r="A32" s="116"/>
      <c r="B32" s="75" t="s">
        <v>316</v>
      </c>
      <c r="C32" s="2"/>
      <c r="D32" s="3"/>
      <c r="E32" s="78" t="s">
        <v>317</v>
      </c>
      <c r="F32" s="2"/>
      <c r="G32" s="2"/>
      <c r="H32" s="3"/>
    </row>
    <row r="33" ht="16" customHeight="1">
      <c r="A33" s="116"/>
      <c r="B33" s="75" t="s">
        <v>318</v>
      </c>
      <c r="C33" s="2"/>
      <c r="D33" s="3"/>
      <c r="E33" s="78" t="s">
        <v>319</v>
      </c>
      <c r="F33" s="2"/>
      <c r="G33" s="2"/>
      <c r="H33" s="3"/>
    </row>
    <row r="34" ht="16" customHeight="1">
      <c r="A34" s="116"/>
      <c r="B34" s="75" t="s">
        <v>320</v>
      </c>
      <c r="C34" s="2"/>
      <c r="D34" s="3"/>
      <c r="E34" s="78" t="s">
        <v>321</v>
      </c>
      <c r="F34" s="2"/>
      <c r="G34" s="2"/>
      <c r="H34" s="3"/>
    </row>
    <row r="35" ht="10" customHeight="1">
      <c r="A35" s="88"/>
      <c r="B35" s="2"/>
      <c r="C35" s="2"/>
      <c r="D35" s="2"/>
      <c r="E35" s="2"/>
      <c r="F35" s="2"/>
      <c r="G35" s="2"/>
      <c r="H35" s="3"/>
    </row>
    <row r="36" ht="18" customHeight="1">
      <c r="A36" s="118" t="s">
        <v>322</v>
      </c>
      <c r="B36" s="2"/>
      <c r="C36" s="119" t="str">
        <f>IF(COUNTA($A$5,$A$6,$A$7,$A$8,$A$9,$A$10,$A$14,$A$15,$A$16,$A$17,$A$18,$A$21,$A$22,$A$23,$A$26,$A$27,$A$28,$A$29,$A$32,$A$33,$A$34)=21,"GO","NO-GO")</f>
        <v>NO-GO</v>
      </c>
      <c r="D36" s="120"/>
      <c r="E36" s="121" t="s">
        <v>323</v>
      </c>
      <c r="F36" s="2"/>
      <c r="G36" s="2"/>
      <c r="H36" s="3"/>
    </row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</sheetData>
  <mergeCells count="56">
    <mergeCell ref="A1:H1"/>
    <mergeCell ref="A2:H2"/>
    <mergeCell ref="A3:H3"/>
    <mergeCell ref="A4:H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A11:H11"/>
    <mergeCell ref="A12:H12"/>
    <mergeCell ref="A13:H13"/>
    <mergeCell ref="B14:D14"/>
    <mergeCell ref="E14:H14"/>
    <mergeCell ref="B15:D15"/>
    <mergeCell ref="E15:H15"/>
    <mergeCell ref="B16:D16"/>
    <mergeCell ref="E16:H16"/>
    <mergeCell ref="B17:D17"/>
    <mergeCell ref="E17:H17"/>
    <mergeCell ref="B18:D18"/>
    <mergeCell ref="E18:H18"/>
    <mergeCell ref="A19:H19"/>
    <mergeCell ref="A20:H20"/>
    <mergeCell ref="F21:H21"/>
    <mergeCell ref="F22:H22"/>
    <mergeCell ref="F23:H23"/>
    <mergeCell ref="A24:H24"/>
    <mergeCell ref="A25:H25"/>
    <mergeCell ref="B26:D26"/>
    <mergeCell ref="E26:H26"/>
    <mergeCell ref="B27:D27"/>
    <mergeCell ref="E27:H27"/>
    <mergeCell ref="B28:D28"/>
    <mergeCell ref="E28:H28"/>
    <mergeCell ref="B29:D29"/>
    <mergeCell ref="E29:H29"/>
    <mergeCell ref="A30:H30"/>
    <mergeCell ref="A31:H31"/>
    <mergeCell ref="B32:D32"/>
    <mergeCell ref="E32:H32"/>
    <mergeCell ref="B33:D33"/>
    <mergeCell ref="E33:H33"/>
    <mergeCell ref="B34:D34"/>
    <mergeCell ref="E34:H34"/>
    <mergeCell ref="A35:H35"/>
    <mergeCell ref="A36:B36"/>
    <mergeCell ref="C36:D36"/>
    <mergeCell ref="E36:H36"/>
  </mergeCells>
  <printOptions headings="0" gridLines="0"/>
  <pageMargins left="0.75" right="0.75" top="1" bottom="1" header="0.5" footer="0.5"/>
  <pageSetup paperSize="1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1800D9-000D-46C9-8E41-00FA0041000D}">
            <xm:f>"NO-GO"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C36:D36</xm:sqref>
        </x14:conditionalFormatting>
        <x14:conditionalFormatting xmlns:xm="http://schemas.microsoft.com/office/excel/2006/main">
          <x14:cfRule type="cellIs" priority="3" operator="equal" id="{00860047-0038-4F75-9E4A-007E00A10022}">
            <xm:f>"GO"</xm:f>
            <x14:dxf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C36:D36</xm:sqref>
        </x14:conditionalFormatting>
        <x14:conditionalFormatting xmlns:xm="http://schemas.microsoft.com/office/excel/2006/main">
          <x14:cfRule type="cellIs" priority="1" operator="greaterThan" id="{009C0032-0035-4933-8DBD-007F00BE0039}">
            <xm:f>0</xm:f>
            <x14:dxf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A5 A6 A7 A8 A9 A10 A14 A15 A16 A17 A18 A21 A22 A23 A26 A27 A28 A29 A32 A33 A34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5" topLeftCell="A6" activePane="bottomLeft" state="frozen"/>
      <selection activeCell="A1" activeCellId="0" sqref="A1"/>
    </sheetView>
  </sheetViews>
  <sheetFormatPr baseColWidth="8" defaultRowHeight="14.25"/>
  <cols>
    <col customWidth="1" min="1" max="1" width="12.28125"/>
    <col bestFit="1" customWidth="1" min="2" max="2" width="21.8515625"/>
    <col bestFit="1" customWidth="1" min="3" max="3" width="12.8125"/>
    <col customWidth="1" min="4" max="4" width="12.8515625"/>
    <col customWidth="1" min="5" max="5" width="14.421875"/>
    <col bestFit="1" customWidth="1" min="6" max="6" width="11.3828125"/>
    <col bestFit="1" customWidth="1" min="7" max="7" width="11.8515625"/>
    <col bestFit="1" customWidth="1" min="8" max="8" width="14.140625"/>
    <col bestFit="1" customWidth="1" min="9" max="9" width="18.8125"/>
    <col bestFit="1" customWidth="1" min="10" max="10" width="16.5234375"/>
    <col customWidth="1" min="12" max="16" width="14.57421875"/>
    <col bestFit="1" customWidth="1" min="17" max="17" width="14.140625"/>
    <col bestFit="1" customWidth="1" min="20" max="20" width="20.7109375"/>
    <col customWidth="1" min="21" max="21" width="32.00390625"/>
  </cols>
  <sheetData>
    <row r="1">
      <c r="A1" s="122" t="s">
        <v>324</v>
      </c>
      <c r="B1" s="122" t="s">
        <v>325</v>
      </c>
      <c r="C1" s="122" t="s">
        <v>326</v>
      </c>
      <c r="D1" s="123" t="s">
        <v>327</v>
      </c>
      <c r="E1" s="124"/>
      <c r="F1" s="123" t="s">
        <v>328</v>
      </c>
      <c r="G1" s="124"/>
      <c r="H1" s="122" t="s">
        <v>329</v>
      </c>
      <c r="I1" s="122" t="s">
        <v>330</v>
      </c>
      <c r="J1" s="125"/>
      <c r="K1" s="124"/>
      <c r="L1" s="122" t="s">
        <v>331</v>
      </c>
      <c r="M1" s="125"/>
      <c r="N1" s="125"/>
      <c r="O1" s="125"/>
      <c r="P1" s="124"/>
      <c r="Q1" s="122" t="s">
        <v>332</v>
      </c>
      <c r="R1" s="122" t="s">
        <v>333</v>
      </c>
      <c r="S1" s="124"/>
      <c r="T1" s="122" t="s">
        <v>334</v>
      </c>
      <c r="U1" s="122" t="s">
        <v>335</v>
      </c>
    </row>
    <row r="2">
      <c r="A2" s="70"/>
      <c r="B2" s="70"/>
      <c r="C2" s="70"/>
      <c r="D2" s="126" t="s">
        <v>336</v>
      </c>
      <c r="E2" s="126" t="s">
        <v>337</v>
      </c>
      <c r="F2" s="126" t="s">
        <v>338</v>
      </c>
      <c r="G2" s="126" t="s">
        <v>339</v>
      </c>
      <c r="H2" s="70"/>
      <c r="I2" s="126" t="s">
        <v>340</v>
      </c>
      <c r="J2" s="126" t="s">
        <v>341</v>
      </c>
      <c r="K2" s="126"/>
      <c r="L2" s="126" t="s">
        <v>342</v>
      </c>
      <c r="M2" s="126" t="s">
        <v>343</v>
      </c>
      <c r="N2" s="126" t="s">
        <v>344</v>
      </c>
      <c r="O2" s="126" t="s">
        <v>345</v>
      </c>
      <c r="P2" s="126" t="s">
        <v>346</v>
      </c>
      <c r="Q2" s="70"/>
      <c r="R2" s="126" t="s">
        <v>342</v>
      </c>
      <c r="S2" s="126" t="s">
        <v>343</v>
      </c>
      <c r="T2" s="70"/>
      <c r="U2" s="70"/>
    </row>
    <row r="3" ht="31.5" customHeight="1">
      <c r="A3" s="127" t="s">
        <v>347</v>
      </c>
    </row>
    <row r="4" ht="18" customHeight="1">
      <c r="A4" s="128">
        <f>'Weather &amp; Flight Plan'!H1</f>
        <v>0</v>
      </c>
      <c r="B4" s="129">
        <f>'Weather &amp; Flight Plan'!C12</f>
        <v>0</v>
      </c>
      <c r="C4" s="129">
        <f>'Weather &amp; Flight Plan'!B12</f>
        <v>0</v>
      </c>
      <c r="D4" s="129">
        <f>'Weather &amp; Flight Plan'!E12</f>
        <v>0</v>
      </c>
      <c r="E4" s="129">
        <f>IFERROR('Weather &amp; Flight Plan'!A19,"")</f>
        <v>0</v>
      </c>
      <c r="F4" s="130"/>
      <c r="G4" s="130"/>
      <c r="H4" s="130"/>
      <c r="I4" s="130"/>
      <c r="J4" s="130"/>
      <c r="K4" s="130"/>
      <c r="L4" s="130"/>
      <c r="M4" s="130"/>
      <c r="N4" s="129" t="str">
        <f>IFERROR(IF('Weather &amp; Flight Plan'!E12&lt;&gt;'Weather &amp; Flight Plan'!A19,F4,""),"")</f>
        <v/>
      </c>
      <c r="O4" s="130"/>
      <c r="P4" s="130"/>
      <c r="Q4" s="130"/>
      <c r="R4" s="130"/>
      <c r="S4" s="130"/>
      <c r="T4" s="131" t="str">
        <f>IFERROR(INT('Navigation Log'!P42)&amp;"h "&amp;ROUND(('Navigation Log'!P42-INT('Navigation Log'!P42))*60,0)&amp;"m","")</f>
        <v xml:space="preserve">0h 0m</v>
      </c>
      <c r="U4" s="132"/>
    </row>
    <row r="5" ht="13" customHeight="1">
      <c r="A5" s="133" t="s">
        <v>348</v>
      </c>
    </row>
    <row r="6" ht="14.25">
      <c r="A6" s="134"/>
    </row>
    <row r="7" ht="14.25">
      <c r="A7" s="134"/>
    </row>
    <row r="8" ht="14.25">
      <c r="A8" s="134"/>
    </row>
    <row r="9" ht="14.25">
      <c r="A9" s="134"/>
    </row>
  </sheetData>
  <mergeCells count="14">
    <mergeCell ref="A1:A2"/>
    <mergeCell ref="B1:B2"/>
    <mergeCell ref="C1:C2"/>
    <mergeCell ref="D1:E1"/>
    <mergeCell ref="F1:G1"/>
    <mergeCell ref="H1:H2"/>
    <mergeCell ref="I1:K1"/>
    <mergeCell ref="L1:P1"/>
    <mergeCell ref="Q1:Q2"/>
    <mergeCell ref="R1:S1"/>
    <mergeCell ref="T1:T2"/>
    <mergeCell ref="U1:U2"/>
    <mergeCell ref="A3:U3"/>
    <mergeCell ref="A5:U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10"/>
  </cols>
  <sheetData>
    <row r="1" ht="22" customHeight="1">
      <c r="A1" s="135" t="s">
        <v>349</v>
      </c>
    </row>
    <row r="2" ht="15" customHeight="1">
      <c r="A2" s="136" t="s">
        <v>350</v>
      </c>
    </row>
    <row r="3" ht="15" customHeight="1">
      <c r="A3" s="136" t="s">
        <v>351</v>
      </c>
    </row>
    <row r="4" ht="15" customHeight="1">
      <c r="A4" s="137" t="s">
        <v>352</v>
      </c>
    </row>
    <row r="5" ht="15" customHeight="1">
      <c r="A5" s="137" t="s">
        <v>353</v>
      </c>
    </row>
    <row r="6" ht="15" customHeight="1">
      <c r="A6" s="137" t="s">
        <v>354</v>
      </c>
    </row>
    <row r="7" ht="15" customHeight="1">
      <c r="A7" s="137" t="s">
        <v>355</v>
      </c>
    </row>
    <row r="8" ht="15" customHeight="1">
      <c r="A8" s="138"/>
    </row>
    <row r="9" ht="15" customHeight="1">
      <c r="A9" s="139" t="s">
        <v>356</v>
      </c>
    </row>
    <row r="10" ht="15" customHeight="1">
      <c r="A10" s="139" t="s">
        <v>357</v>
      </c>
    </row>
    <row r="11" ht="15" customHeight="1">
      <c r="A11" s="136" t="s">
        <v>358</v>
      </c>
    </row>
    <row r="12" ht="15" customHeight="1">
      <c r="A12" s="136" t="s">
        <v>359</v>
      </c>
    </row>
    <row r="13" ht="15" customHeight="1">
      <c r="A13" s="137" t="s">
        <v>360</v>
      </c>
    </row>
    <row r="14" ht="15" customHeight="1">
      <c r="A14" s="136" t="s">
        <v>361</v>
      </c>
    </row>
    <row r="15" ht="15" customHeight="1">
      <c r="A15" s="140"/>
    </row>
    <row r="16" ht="15" customHeight="1">
      <c r="A16" s="139" t="s">
        <v>362</v>
      </c>
    </row>
    <row r="17" ht="15" customHeight="1">
      <c r="A17" s="139" t="s">
        <v>363</v>
      </c>
    </row>
    <row r="18" ht="15" customHeight="1">
      <c r="A18" s="136" t="s">
        <v>364</v>
      </c>
    </row>
    <row r="19" ht="15" customHeight="1">
      <c r="A19" s="137" t="s">
        <v>365</v>
      </c>
    </row>
    <row r="20" ht="15" customHeight="1">
      <c r="A20" s="139" t="s">
        <v>366</v>
      </c>
    </row>
    <row r="21" ht="15" customHeight="1">
      <c r="A21" s="136" t="s">
        <v>367</v>
      </c>
    </row>
    <row r="22" ht="15" customHeight="1">
      <c r="A22" s="139" t="s">
        <v>368</v>
      </c>
    </row>
    <row r="23" ht="15" customHeight="1">
      <c r="A23" s="138"/>
    </row>
    <row r="24" ht="15" customHeight="1">
      <c r="A24" s="136" t="s">
        <v>369</v>
      </c>
    </row>
    <row r="25" ht="15" customHeight="1">
      <c r="A25" s="138"/>
    </row>
    <row r="26" ht="15" customHeight="1">
      <c r="A26" s="136" t="s">
        <v>370</v>
      </c>
    </row>
    <row r="27" ht="15" customHeight="1">
      <c r="A27" s="136" t="s">
        <v>371</v>
      </c>
    </row>
    <row r="28" ht="15" customHeight="1">
      <c r="A28" s="137" t="s">
        <v>372</v>
      </c>
    </row>
    <row r="29" ht="15" customHeight="1">
      <c r="A29" s="136" t="s">
        <v>373</v>
      </c>
    </row>
    <row r="30" ht="15" customHeight="1">
      <c r="A30" s="139" t="s">
        <v>374</v>
      </c>
    </row>
    <row r="31" ht="15" customHeight="1">
      <c r="A31" s="139" t="s">
        <v>375</v>
      </c>
    </row>
    <row r="32" ht="15" customHeight="1">
      <c r="A32" s="139" t="s">
        <v>372</v>
      </c>
    </row>
    <row r="33" ht="15" customHeight="1">
      <c r="A33" s="136" t="s">
        <v>376</v>
      </c>
    </row>
    <row r="34" ht="15" customHeight="1">
      <c r="A34" s="136" t="s">
        <v>377</v>
      </c>
    </row>
    <row r="35" ht="15" customHeight="1">
      <c r="A35" s="138"/>
    </row>
    <row r="36" ht="15" customHeight="1">
      <c r="A36" s="136" t="s">
        <v>378</v>
      </c>
    </row>
    <row r="37" ht="15" customHeight="1">
      <c r="A37" s="141"/>
    </row>
    <row r="38" ht="15" customHeight="1">
      <c r="A38" s="136" t="s">
        <v>379</v>
      </c>
    </row>
    <row r="39" ht="15" customHeight="1">
      <c r="A39" s="138"/>
    </row>
    <row r="40" ht="15" customHeight="1">
      <c r="A40" s="138"/>
    </row>
    <row r="41" ht="15" customHeight="1">
      <c r="A41" s="138"/>
    </row>
    <row r="42" ht="15" customHeight="1">
      <c r="A42" s="138"/>
    </row>
    <row r="43" ht="15" customHeight="1">
      <c r="A43" s="138"/>
    </row>
    <row r="44" ht="15" customHeight="1">
      <c r="A44" s="138"/>
    </row>
    <row r="45" ht="15" customHeight="1">
      <c r="A45" s="138"/>
    </row>
    <row r="46" ht="15" customHeight="1">
      <c r="A46" s="138"/>
    </row>
    <row r="47" ht="15" customHeight="1">
      <c r="A47" s="138"/>
    </row>
    <row r="48" ht="15" customHeight="1">
      <c r="A48" s="138"/>
    </row>
    <row r="49" ht="15" customHeight="1">
      <c r="A49" s="138"/>
    </row>
    <row r="50" ht="15" customHeight="1">
      <c r="A50" s="138"/>
    </row>
    <row r="51" ht="15" customHeight="1">
      <c r="A51" s="138"/>
    </row>
    <row r="52" ht="15" customHeight="1">
      <c r="A52" s="138"/>
    </row>
    <row r="53" ht="15" customHeight="1">
      <c r="A53" s="140"/>
    </row>
    <row r="54" ht="15" customHeight="1">
      <c r="A54" s="138"/>
    </row>
    <row r="55" ht="15" customHeight="1">
      <c r="A55" s="138"/>
    </row>
    <row r="56" ht="15" customHeight="1">
      <c r="A56" s="138"/>
    </row>
    <row r="57" ht="15" customHeight="1">
      <c r="A57" s="138"/>
    </row>
    <row r="58" ht="15" customHeight="1">
      <c r="A58" s="138"/>
    </row>
    <row r="59" ht="15" customHeight="1">
      <c r="A59" s="138"/>
    </row>
  </sheetData>
  <printOptions headings="0" gridLines="0"/>
  <pageMargins left="0.75" right="0.75" top="1" bottom="1" header="0.5" footer="0.5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6</cp:revision>
  <dcterms:created xsi:type="dcterms:W3CDTF">2026-05-08T22:32:25Z</dcterms:created>
  <dcterms:modified xsi:type="dcterms:W3CDTF">2026-05-15T04:33:00Z</dcterms:modified>
</cp:coreProperties>
</file>